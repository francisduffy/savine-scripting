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root\dev\savine_scripting\xll_example\"/>
    </mc:Choice>
  </mc:AlternateContent>
  <xr:revisionPtr revIDLastSave="0" documentId="13_ncr:1_{2AF58BF0-FB5A-44FD-A892-FDBD27338BA7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Scripts" sheetId="5" r:id="rId1"/>
    <sheet name="Sharp" sheetId="1" r:id="rId2"/>
    <sheet name="Fuzzy" sheetId="4" r:id="rId3"/>
  </sheets>
  <calcPr calcId="191029" calcMode="manual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4" l="1"/>
  <c r="C17" i="1"/>
  <c r="A30" i="5" a="1"/>
  <c r="C29" i="4"/>
  <c r="C28" i="4"/>
  <c r="C26" i="4"/>
  <c r="B33" i="4"/>
  <c r="C24" i="4"/>
  <c r="C27" i="4"/>
  <c r="C25" i="4"/>
  <c r="C33" i="4"/>
  <c r="B24" i="4"/>
  <c r="B25" i="4"/>
  <c r="B26" i="4"/>
  <c r="B27" i="4"/>
  <c r="B28" i="4"/>
  <c r="B29" i="4"/>
  <c r="B30" i="4"/>
  <c r="B31" i="4"/>
  <c r="B32" i="4"/>
  <c r="C32" i="4"/>
  <c r="C31" i="4"/>
  <c r="C30" i="4"/>
  <c r="B24" i="1"/>
  <c r="C32" i="1"/>
  <c r="C33" i="1"/>
  <c r="C31" i="1"/>
  <c r="C29" i="1"/>
  <c r="C30" i="1"/>
  <c r="C28" i="1"/>
  <c r="C27" i="1"/>
  <c r="B33" i="1"/>
  <c r="C26" i="1"/>
  <c r="C24" i="1"/>
  <c r="C25" i="1"/>
  <c r="A30" i="5" l="1"/>
  <c r="A31" i="5"/>
  <c r="B31" i="5"/>
  <c r="A32" i="5"/>
  <c r="B32" i="5"/>
  <c r="A33" i="5"/>
  <c r="B33" i="5"/>
  <c r="B30" i="5"/>
  <c r="E33" i="4"/>
  <c r="D33" i="4"/>
  <c r="D32" i="4"/>
  <c r="D31" i="4"/>
  <c r="D30" i="4"/>
  <c r="D29" i="4"/>
  <c r="D28" i="4"/>
  <c r="D27" i="4"/>
  <c r="D26" i="4"/>
  <c r="D25" i="4"/>
  <c r="D24" i="4"/>
  <c r="E24" i="4"/>
  <c r="B28" i="1"/>
  <c r="B27" i="1"/>
  <c r="B32" i="1"/>
  <c r="B30" i="1"/>
  <c r="B31" i="1"/>
  <c r="B25" i="1"/>
  <c r="B29" i="1"/>
  <c r="B26" i="1"/>
  <c r="E31" i="4" l="1"/>
  <c r="E30" i="4"/>
  <c r="E32" i="4"/>
  <c r="E27" i="4"/>
  <c r="E28" i="4"/>
  <c r="E26" i="4"/>
  <c r="E29" i="4"/>
  <c r="E25" i="4"/>
  <c r="D33" i="1"/>
  <c r="F33" i="4" s="1"/>
  <c r="D32" i="1"/>
  <c r="F32" i="4" s="1"/>
  <c r="D31" i="1"/>
  <c r="F31" i="4" s="1"/>
  <c r="D30" i="1"/>
  <c r="F30" i="4" s="1"/>
  <c r="D29" i="1"/>
  <c r="F29" i="4" s="1"/>
  <c r="D28" i="1"/>
  <c r="F28" i="4" s="1"/>
  <c r="D27" i="1"/>
  <c r="F27" i="4" s="1"/>
  <c r="D26" i="1"/>
  <c r="F26" i="4" s="1"/>
  <c r="D25" i="1"/>
  <c r="F25" i="4" s="1"/>
  <c r="D24" i="1"/>
  <c r="F24" i="4" s="1"/>
</calcChain>
</file>

<file path=xl/sharedStrings.xml><?xml version="1.0" encoding="utf-8"?>
<sst xmlns="http://schemas.openxmlformats.org/spreadsheetml/2006/main" count="82" uniqueCount="41">
  <si>
    <t>Today</t>
  </si>
  <si>
    <t>Spot</t>
  </si>
  <si>
    <t>Vol</t>
  </si>
  <si>
    <t>Rate</t>
  </si>
  <si>
    <t>Script</t>
  </si>
  <si>
    <t>alive = 1</t>
  </si>
  <si>
    <t>if spot() &gt; 100 then autocall pays 110 alive = 0 endIf</t>
  </si>
  <si>
    <t>if spot() &gt; 100 then autocall pays alive * 120 alive = 0 endIf</t>
  </si>
  <si>
    <t>Sims</t>
  </si>
  <si>
    <t>FL Eps</t>
  </si>
  <si>
    <t>Vol shift</t>
  </si>
  <si>
    <t>Spot shift</t>
  </si>
  <si>
    <t>if spot() &gt; 100 then autocall pays alive * 130 else autocall pays alive * 50 endIf</t>
  </si>
  <si>
    <t>Var</t>
  </si>
  <si>
    <t>Vega</t>
  </si>
  <si>
    <t>Model</t>
  </si>
  <si>
    <t>Simulations</t>
  </si>
  <si>
    <t>Seed</t>
  </si>
  <si>
    <t>Num Sim</t>
  </si>
  <si>
    <t>Value</t>
  </si>
  <si>
    <t>VAR_1 = 7 - 3 - 4</t>
  </si>
  <si>
    <t>IF VAR_1 = 0 THEN VAR_2 = 7 - 3 - 4 ENDIF</t>
  </si>
  <si>
    <t>VAR_3 = 2 ^ 3 ^ 4</t>
  </si>
  <si>
    <t>VAR_4 = -2 ^ 2</t>
  </si>
  <si>
    <t>Example scripts below</t>
  </si>
  <si>
    <t>ALIVE = 1</t>
  </si>
  <si>
    <t>IF SPOT() &gt; 110 THEN ALIVE = 0 ENDIF</t>
  </si>
  <si>
    <t>RKO PAYS ALIVE * MAX( SPOT() - 100, 0)</t>
  </si>
  <si>
    <t>IF SPOT() &gt; 100 THEN AUTOCALL PAYS 110 ALIVE = 0 ENDIF</t>
  </si>
  <si>
    <t>IF SPOT() &gt; 100 THEN AUTOCALL PAYS ALIVE * 120 ALIVE = 0 ENDIF</t>
  </si>
  <si>
    <t>IF SPOT() &gt; 100 THEN AUTOCALL PAYS ALIVE * 130 ELSE AUTOCALL PAYS ALIVE * 50 ENDIF</t>
  </si>
  <si>
    <t>OPT PAYS MAX( 0, SPOT() - 100 )</t>
  </si>
  <si>
    <t>Call, strike = 100</t>
  </si>
  <si>
    <t>Monthly monitored barrier @ 110, up and out call, strike = 100</t>
  </si>
  <si>
    <t>Autocallable</t>
  </si>
  <si>
    <t>Just testing expressions</t>
  </si>
  <si>
    <t>Fuzzy Logic</t>
  </si>
  <si>
    <t>Price</t>
  </si>
  <si>
    <t>Shifted Price</t>
  </si>
  <si>
    <t>Sharp Price</t>
  </si>
  <si>
    <t>Sharp Vega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</si>
</sst>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23">
    <xf numFmtId="0" fontId="0" fillId="0" borderId="0" xfId="0"/>
    <xf numFmtId="15" fontId="0" fillId="0" borderId="0" xfId="0" applyNumberFormat="1"/>
    <xf numFmtId="10" fontId="0" fillId="0" borderId="0" xfId="2" applyNumberFormat="1" applyFont="1"/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10" fontId="0" fillId="0" borderId="0" xfId="2" applyNumberFormat="1" applyFont="1" applyAlignment="1">
      <alignment vertical="center"/>
    </xf>
    <xf numFmtId="15" fontId="4" fillId="3" borderId="0" xfId="4" applyNumberFormat="1" applyAlignment="1">
      <alignment horizontal="left" vertical="center"/>
    </xf>
    <xf numFmtId="0" fontId="3" fillId="2" borderId="0" xfId="3" applyAlignment="1">
      <alignment vertical="center"/>
    </xf>
    <xf numFmtId="0" fontId="0" fillId="0" borderId="0" xfId="1" applyNumberFormat="1" applyFont="1" applyAlignment="1">
      <alignment vertical="center"/>
    </xf>
    <xf numFmtId="0" fontId="0" fillId="0" borderId="0" xfId="1" applyNumberFormat="1" applyFont="1" applyAlignment="1">
      <alignment horizontal="left" vertical="center"/>
    </xf>
    <xf numFmtId="0" fontId="0" fillId="0" borderId="0" xfId="1" applyNumberFormat="1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3" fontId="0" fillId="0" borderId="0" xfId="1" applyNumberFormat="1" applyFont="1" applyAlignment="1">
      <alignment horizontal="center" vertical="center"/>
    </xf>
    <xf numFmtId="4" fontId="0" fillId="0" borderId="0" xfId="1" applyNumberFormat="1" applyFont="1" applyAlignment="1">
      <alignment horizontal="center" vertical="center"/>
    </xf>
    <xf numFmtId="2" fontId="0" fillId="0" borderId="0" xfId="1" applyNumberFormat="1" applyFont="1" applyAlignment="1">
      <alignment horizontal="right" vertical="center"/>
    </xf>
    <xf numFmtId="4" fontId="0" fillId="0" borderId="0" xfId="1" applyNumberFormat="1" applyFont="1" applyAlignment="1">
      <alignment horizontal="right" vertical="center"/>
    </xf>
    <xf numFmtId="0" fontId="0" fillId="4" borderId="0" xfId="0" applyFill="1" applyAlignment="1">
      <alignment vertical="center"/>
    </xf>
    <xf numFmtId="0" fontId="0" fillId="0" borderId="0" xfId="0" applyFont="1" applyAlignment="1">
      <alignment horizontal="right" vertical="center"/>
    </xf>
    <xf numFmtId="0" fontId="0" fillId="4" borderId="0" xfId="0" applyFill="1" applyAlignment="1">
      <alignment horizontal="center" vertical="center"/>
    </xf>
  </cellXfs>
  <cellStyles count="5">
    <cellStyle name="Comma" xfId="1" builtinId="3"/>
    <cellStyle name="Good" xfId="3" builtinId="26"/>
    <cellStyle name="Neutral" xfId="4" builtinId="2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Sharp!$B$23</c:f>
              <c:strCache>
                <c:ptCount val="1"/>
                <c:pt idx="0">
                  <c:v>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3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Sharp!$A$24:$A$33</c:f>
              <c:numCache>
                <c:formatCode>#,##0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Sharp!$B$24:$B$33</c:f>
              <c:numCache>
                <c:formatCode>#,##0.00</c:formatCode>
                <c:ptCount val="10"/>
                <c:pt idx="0">
                  <c:v>90.223999999997403</c:v>
                </c:pt>
                <c:pt idx="1">
                  <c:v>90.457999999982079</c:v>
                </c:pt>
                <c:pt idx="2">
                  <c:v>90.362999999973212</c:v>
                </c:pt>
                <c:pt idx="3">
                  <c:v>90.220750000007257</c:v>
                </c:pt>
                <c:pt idx="4">
                  <c:v>90.160200000033896</c:v>
                </c:pt>
                <c:pt idx="5">
                  <c:v>90.35516666665481</c:v>
                </c:pt>
                <c:pt idx="6">
                  <c:v>90.347142857107599</c:v>
                </c:pt>
                <c:pt idx="7">
                  <c:v>90.409624999958481</c:v>
                </c:pt>
                <c:pt idx="8">
                  <c:v>90.3547777778181</c:v>
                </c:pt>
                <c:pt idx="9">
                  <c:v>90.23189999997507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7F-43D5-895D-2DD87B900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3728"/>
        <c:axId val="199675264"/>
      </c:scatterChart>
      <c:scatterChart>
        <c:scatterStyle val="lineMarker"/>
        <c:varyColors val="0"/>
        <c:ser>
          <c:idx val="1"/>
          <c:order val="1"/>
          <c:tx>
            <c:strRef>
              <c:f>Sharp!$D$23</c:f>
              <c:strCache>
                <c:ptCount val="1"/>
                <c:pt idx="0">
                  <c:v>Vega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3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Sharp!$A$24:$A$33</c:f>
              <c:numCache>
                <c:formatCode>#,##0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Sharp!$D$24:$D$33</c:f>
              <c:numCache>
                <c:formatCode>#,##0.00</c:formatCode>
                <c:ptCount val="10"/>
                <c:pt idx="0">
                  <c:v>0</c:v>
                </c:pt>
                <c:pt idx="1">
                  <c:v>5.0000000000238742</c:v>
                </c:pt>
                <c:pt idx="2">
                  <c:v>-9.9999999999056399</c:v>
                </c:pt>
                <c:pt idx="3">
                  <c:v>-17.500000000012506</c:v>
                </c:pt>
                <c:pt idx="4">
                  <c:v>-24.000000000086175</c:v>
                </c:pt>
                <c:pt idx="5">
                  <c:v>0</c:v>
                </c:pt>
                <c:pt idx="6">
                  <c:v>0</c:v>
                </c:pt>
                <c:pt idx="7">
                  <c:v>-17.500000000012506</c:v>
                </c:pt>
                <c:pt idx="8">
                  <c:v>-15.55555555569299</c:v>
                </c:pt>
                <c:pt idx="9">
                  <c:v>-19.99999999981128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7F-43D5-895D-2DD87B900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670623"/>
        <c:axId val="911673983"/>
      </c:scatterChart>
      <c:valAx>
        <c:axId val="199673728"/>
        <c:scaling>
          <c:orientation val="minMax"/>
          <c:max val="100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23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5264"/>
        <c:crosses val="autoZero"/>
        <c:crossBetween val="midCat"/>
      </c:valAx>
      <c:valAx>
        <c:axId val="19967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3728"/>
        <c:crosses val="autoZero"/>
        <c:crossBetween val="midCat"/>
      </c:valAx>
      <c:valAx>
        <c:axId val="9116739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VEGA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670623"/>
        <c:crosses val="max"/>
        <c:crossBetween val="midCat"/>
      </c:valAx>
      <c:valAx>
        <c:axId val="911670623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911673983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Fuzzy!$B$23</c:f>
              <c:strCache>
                <c:ptCount val="1"/>
                <c:pt idx="0">
                  <c:v>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3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Fuzzy!$A$24:$A$33</c:f>
              <c:numCache>
                <c:formatCode>#,##0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Fuzzy!$B$24:$B$33</c:f>
              <c:numCache>
                <c:formatCode>#,##0.00</c:formatCode>
                <c:ptCount val="10"/>
                <c:pt idx="0">
                  <c:v>90.215907490570302</c:v>
                </c:pt>
                <c:pt idx="1">
                  <c:v>90.454515971934811</c:v>
                </c:pt>
                <c:pt idx="2">
                  <c:v>90.391596897884611</c:v>
                </c:pt>
                <c:pt idx="3">
                  <c:v>90.241188158803681</c:v>
                </c:pt>
                <c:pt idx="4">
                  <c:v>90.157752900788793</c:v>
                </c:pt>
                <c:pt idx="5">
                  <c:v>90.349306513651001</c:v>
                </c:pt>
                <c:pt idx="6">
                  <c:v>90.34693707651148</c:v>
                </c:pt>
                <c:pt idx="7">
                  <c:v>90.434704296462741</c:v>
                </c:pt>
                <c:pt idx="8">
                  <c:v>90.361812290029775</c:v>
                </c:pt>
                <c:pt idx="9">
                  <c:v>90.23647483792368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73-4ADE-AB62-1C2ABDB5F84D}"/>
            </c:ext>
          </c:extLst>
        </c:ser>
        <c:ser>
          <c:idx val="2"/>
          <c:order val="2"/>
          <c:tx>
            <c:strRef>
              <c:f>Fuzzy!$E$23</c:f>
              <c:strCache>
                <c:ptCount val="1"/>
                <c:pt idx="0">
                  <c:v>Sharp Price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3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Fuzzy!$A$24:$A$33</c:f>
              <c:numCache>
                <c:formatCode>#,##0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Fuzzy!$E$24:$E$33</c:f>
              <c:numCache>
                <c:formatCode>#,##0.00</c:formatCode>
                <c:ptCount val="10"/>
                <c:pt idx="0">
                  <c:v>90.223999999997403</c:v>
                </c:pt>
                <c:pt idx="1">
                  <c:v>90.457999999982079</c:v>
                </c:pt>
                <c:pt idx="2">
                  <c:v>90.362999999973212</c:v>
                </c:pt>
                <c:pt idx="3">
                  <c:v>90.220750000007257</c:v>
                </c:pt>
                <c:pt idx="4">
                  <c:v>90.160200000033896</c:v>
                </c:pt>
                <c:pt idx="5">
                  <c:v>90.35516666665481</c:v>
                </c:pt>
                <c:pt idx="6">
                  <c:v>90.347142857107599</c:v>
                </c:pt>
                <c:pt idx="7">
                  <c:v>90.409624999958481</c:v>
                </c:pt>
                <c:pt idx="8">
                  <c:v>90.3547777778181</c:v>
                </c:pt>
                <c:pt idx="9">
                  <c:v>90.23189999997507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73-4ADE-AB62-1C2ABDB5F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34880"/>
        <c:axId val="200236416"/>
      </c:scatterChart>
      <c:scatterChart>
        <c:scatterStyle val="lineMarker"/>
        <c:varyColors val="0"/>
        <c:ser>
          <c:idx val="1"/>
          <c:order val="1"/>
          <c:tx>
            <c:strRef>
              <c:f>Fuzzy!$D$23</c:f>
              <c:strCache>
                <c:ptCount val="1"/>
                <c:pt idx="0">
                  <c:v>Vega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3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Fuzzy!$A$24:$A$33</c:f>
              <c:numCache>
                <c:formatCode>#,##0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Fuzzy!$D$24:$D$33</c:f>
              <c:numCache>
                <c:formatCode>#,##0.00</c:formatCode>
                <c:ptCount val="10"/>
                <c:pt idx="0">
                  <c:v>-16.152229561186005</c:v>
                </c:pt>
                <c:pt idx="1">
                  <c:v>-17.654870179626414</c:v>
                </c:pt>
                <c:pt idx="2">
                  <c:v>-16.660889437929427</c:v>
                </c:pt>
                <c:pt idx="3">
                  <c:v>-17.384157702196035</c:v>
                </c:pt>
                <c:pt idx="4">
                  <c:v>-16.921757513728153</c:v>
                </c:pt>
                <c:pt idx="5">
                  <c:v>-17.346946570455657</c:v>
                </c:pt>
                <c:pt idx="6">
                  <c:v>-17.561639613745683</c:v>
                </c:pt>
                <c:pt idx="7">
                  <c:v>-18.44396227852485</c:v>
                </c:pt>
                <c:pt idx="8">
                  <c:v>-17.527849580716293</c:v>
                </c:pt>
                <c:pt idx="9">
                  <c:v>-18.052129469481315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73-4ADE-AB62-1C2ABDB5F84D}"/>
            </c:ext>
          </c:extLst>
        </c:ser>
        <c:ser>
          <c:idx val="3"/>
          <c:order val="3"/>
          <c:tx>
            <c:strRef>
              <c:f>Fuzzy!$F$23</c:f>
              <c:strCache>
                <c:ptCount val="1"/>
                <c:pt idx="0">
                  <c:v>Sharp Vega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3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Fuzzy!$A$24:$A$33</c:f>
              <c:numCache>
                <c:formatCode>#,##0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Fuzzy!$F$24:$F$33</c:f>
              <c:numCache>
                <c:formatCode>#,##0.00</c:formatCode>
                <c:ptCount val="10"/>
                <c:pt idx="0">
                  <c:v>0</c:v>
                </c:pt>
                <c:pt idx="1">
                  <c:v>5.0000000000238742</c:v>
                </c:pt>
                <c:pt idx="2">
                  <c:v>-9.9999999999056399</c:v>
                </c:pt>
                <c:pt idx="3">
                  <c:v>-17.500000000012506</c:v>
                </c:pt>
                <c:pt idx="4">
                  <c:v>-24.000000000086175</c:v>
                </c:pt>
                <c:pt idx="5">
                  <c:v>0</c:v>
                </c:pt>
                <c:pt idx="6">
                  <c:v>0</c:v>
                </c:pt>
                <c:pt idx="7">
                  <c:v>-17.500000000012506</c:v>
                </c:pt>
                <c:pt idx="8">
                  <c:v>-15.55555555569299</c:v>
                </c:pt>
                <c:pt idx="9">
                  <c:v>-19.99999999981128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73-4ADE-AB62-1C2ABDB5F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400559"/>
        <c:axId val="758882911"/>
      </c:scatterChart>
      <c:valAx>
        <c:axId val="200234880"/>
        <c:scaling>
          <c:orientation val="minMax"/>
          <c:max val="100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36416"/>
        <c:crosses val="autoZero"/>
        <c:crossBetween val="midCat"/>
      </c:valAx>
      <c:valAx>
        <c:axId val="20023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34880"/>
        <c:crosses val="autoZero"/>
        <c:crossBetween val="midCat"/>
      </c:valAx>
      <c:valAx>
        <c:axId val="75888291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VEGA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400559"/>
        <c:crosses val="max"/>
        <c:crossBetween val="midCat"/>
      </c:valAx>
      <c:valAx>
        <c:axId val="910400559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75888291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22</xdr:row>
      <xdr:rowOff>6350</xdr:rowOff>
    </xdr:from>
    <xdr:to>
      <xdr:col>13</xdr:col>
      <xdr:colOff>285750</xdr:colOff>
      <xdr:row>41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22</xdr:row>
      <xdr:rowOff>6350</xdr:rowOff>
    </xdr:from>
    <xdr:to>
      <xdr:col>17</xdr:col>
      <xdr:colOff>527050</xdr:colOff>
      <xdr:row>46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workbookViewId="0">
      <selection activeCell="K15" sqref="K15"/>
    </sheetView>
  </sheetViews>
  <sheetFormatPr defaultRowHeight="14.5" x14ac:dyDescent="0.35"/>
  <cols>
    <col min="1" max="1" width="10.1796875" style="3" bestFit="1" customWidth="1"/>
    <col min="2" max="2" width="11.54296875" style="3" bestFit="1" customWidth="1"/>
    <col min="3" max="9" width="9.6328125" style="3" customWidth="1"/>
    <col min="10" max="10" width="5.7265625" style="3" customWidth="1"/>
    <col min="11" max="11" width="11.08984375" style="11" customWidth="1"/>
    <col min="12" max="18" width="8.7265625" style="3"/>
    <col min="19" max="19" width="15" style="3" customWidth="1"/>
    <col min="20" max="16384" width="8.7265625" style="3"/>
  </cols>
  <sheetData>
    <row r="1" spans="1:19" x14ac:dyDescent="0.35">
      <c r="A1" s="13" t="s">
        <v>15</v>
      </c>
      <c r="B1" s="13"/>
    </row>
    <row r="2" spans="1:19" x14ac:dyDescent="0.35">
      <c r="A2" s="3" t="s">
        <v>0</v>
      </c>
      <c r="B2" s="4">
        <v>42104</v>
      </c>
    </row>
    <row r="3" spans="1:19" x14ac:dyDescent="0.35">
      <c r="A3" s="3" t="s">
        <v>1</v>
      </c>
      <c r="B3" s="3">
        <v>100</v>
      </c>
    </row>
    <row r="4" spans="1:19" x14ac:dyDescent="0.35">
      <c r="A4" s="3" t="s">
        <v>2</v>
      </c>
      <c r="B4" s="5">
        <v>0.21</v>
      </c>
    </row>
    <row r="5" spans="1:19" x14ac:dyDescent="0.35">
      <c r="A5" s="3" t="s">
        <v>3</v>
      </c>
      <c r="B5" s="5">
        <v>0</v>
      </c>
    </row>
    <row r="7" spans="1:19" x14ac:dyDescent="0.35">
      <c r="A7" s="13" t="s">
        <v>16</v>
      </c>
      <c r="B7" s="13"/>
    </row>
    <row r="8" spans="1:19" x14ac:dyDescent="0.35">
      <c r="A8" s="3" t="s">
        <v>17</v>
      </c>
      <c r="B8" s="3">
        <v>0</v>
      </c>
    </row>
    <row r="9" spans="1:19" x14ac:dyDescent="0.35">
      <c r="A9" s="3" t="s">
        <v>18</v>
      </c>
      <c r="B9" s="8">
        <v>100</v>
      </c>
      <c r="K9" s="12" t="s">
        <v>24</v>
      </c>
    </row>
    <row r="11" spans="1:19" x14ac:dyDescent="0.35">
      <c r="A11" s="13" t="s">
        <v>4</v>
      </c>
      <c r="B11" s="13"/>
      <c r="C11" s="13"/>
      <c r="D11" s="13"/>
      <c r="E11" s="13"/>
      <c r="F11" s="13"/>
      <c r="G11" s="13"/>
      <c r="H11" s="13"/>
      <c r="I11" s="13"/>
      <c r="K11" s="11" t="s">
        <v>32</v>
      </c>
    </row>
    <row r="12" spans="1:19" x14ac:dyDescent="0.35">
      <c r="A12" s="6">
        <v>42104</v>
      </c>
      <c r="B12" s="7" t="s">
        <v>25</v>
      </c>
      <c r="C12" s="7"/>
      <c r="D12" s="7"/>
      <c r="E12" s="7"/>
      <c r="F12" s="7"/>
      <c r="G12" s="7"/>
      <c r="H12" s="7"/>
      <c r="I12" s="7"/>
      <c r="K12" s="6">
        <v>42470</v>
      </c>
      <c r="L12" s="7" t="s">
        <v>31</v>
      </c>
      <c r="M12" s="7"/>
      <c r="N12" s="7"/>
      <c r="O12" s="7"/>
      <c r="P12" s="7"/>
      <c r="Q12" s="7"/>
      <c r="R12" s="7"/>
      <c r="S12" s="7"/>
    </row>
    <row r="13" spans="1:19" x14ac:dyDescent="0.35">
      <c r="A13" s="6">
        <v>42470</v>
      </c>
      <c r="B13" s="7" t="s">
        <v>28</v>
      </c>
      <c r="C13" s="7"/>
      <c r="D13" s="7"/>
      <c r="E13" s="7"/>
      <c r="F13" s="7"/>
      <c r="G13" s="7"/>
      <c r="H13" s="7"/>
      <c r="I13" s="7"/>
    </row>
    <row r="14" spans="1:19" x14ac:dyDescent="0.35">
      <c r="A14" s="6">
        <v>42835</v>
      </c>
      <c r="B14" s="7" t="s">
        <v>29</v>
      </c>
      <c r="C14" s="7"/>
      <c r="D14" s="7"/>
      <c r="E14" s="7"/>
      <c r="F14" s="7"/>
      <c r="G14" s="7"/>
      <c r="H14" s="7"/>
      <c r="I14" s="7"/>
      <c r="K14" s="11" t="s">
        <v>33</v>
      </c>
    </row>
    <row r="15" spans="1:19" x14ac:dyDescent="0.35">
      <c r="A15" s="6">
        <v>43200</v>
      </c>
      <c r="B15" s="7" t="s">
        <v>30</v>
      </c>
      <c r="C15" s="7"/>
      <c r="D15" s="7"/>
      <c r="E15" s="7"/>
      <c r="F15" s="7"/>
      <c r="G15" s="7"/>
      <c r="H15" s="7"/>
      <c r="I15" s="7"/>
      <c r="K15" s="6">
        <v>42104</v>
      </c>
      <c r="L15" s="7" t="s">
        <v>25</v>
      </c>
      <c r="M15" s="7"/>
      <c r="N15" s="7"/>
      <c r="O15" s="7"/>
      <c r="P15" s="7"/>
      <c r="Q15" s="7"/>
      <c r="R15" s="7"/>
      <c r="S15" s="7"/>
    </row>
    <row r="16" spans="1:19" x14ac:dyDescent="0.35">
      <c r="A16" s="6"/>
      <c r="B16" s="7"/>
      <c r="C16" s="7"/>
      <c r="D16" s="7"/>
      <c r="E16" s="7"/>
      <c r="F16" s="7"/>
      <c r="G16" s="7"/>
      <c r="H16" s="7"/>
      <c r="I16" s="7"/>
      <c r="K16" s="6">
        <v>42134</v>
      </c>
      <c r="L16" s="7" t="s">
        <v>26</v>
      </c>
      <c r="M16" s="7"/>
      <c r="N16" s="7"/>
      <c r="O16" s="7"/>
      <c r="P16" s="7"/>
      <c r="Q16" s="7"/>
      <c r="R16" s="7"/>
      <c r="S16" s="7"/>
    </row>
    <row r="17" spans="1:19" x14ac:dyDescent="0.35">
      <c r="A17" s="6"/>
      <c r="B17" s="7"/>
      <c r="C17" s="7"/>
      <c r="D17" s="7"/>
      <c r="E17" s="7"/>
      <c r="F17" s="7"/>
      <c r="G17" s="7"/>
      <c r="H17" s="7"/>
      <c r="I17" s="7"/>
      <c r="K17" s="6">
        <v>42165</v>
      </c>
      <c r="L17" s="7" t="s">
        <v>26</v>
      </c>
      <c r="M17" s="7"/>
      <c r="N17" s="7"/>
      <c r="O17" s="7"/>
      <c r="P17" s="7"/>
      <c r="Q17" s="7"/>
      <c r="R17" s="7"/>
      <c r="S17" s="7"/>
    </row>
    <row r="18" spans="1:19" x14ac:dyDescent="0.35">
      <c r="A18" s="6"/>
      <c r="B18" s="7"/>
      <c r="C18" s="7"/>
      <c r="D18" s="7"/>
      <c r="E18" s="7"/>
      <c r="F18" s="7"/>
      <c r="G18" s="7"/>
      <c r="H18" s="7"/>
      <c r="I18" s="7"/>
      <c r="K18" s="6">
        <v>42195</v>
      </c>
      <c r="L18" s="7" t="s">
        <v>26</v>
      </c>
      <c r="M18" s="7"/>
      <c r="N18" s="7"/>
      <c r="O18" s="7"/>
      <c r="P18" s="7"/>
      <c r="Q18" s="7"/>
      <c r="R18" s="7"/>
      <c r="S18" s="7"/>
    </row>
    <row r="19" spans="1:19" x14ac:dyDescent="0.35">
      <c r="A19" s="6"/>
      <c r="B19" s="7"/>
      <c r="C19" s="7"/>
      <c r="D19" s="7"/>
      <c r="E19" s="7"/>
      <c r="F19" s="7"/>
      <c r="G19" s="7"/>
      <c r="H19" s="7"/>
      <c r="I19" s="7"/>
      <c r="K19" s="6">
        <v>42226</v>
      </c>
      <c r="L19" s="7" t="s">
        <v>26</v>
      </c>
      <c r="M19" s="7"/>
      <c r="N19" s="7"/>
      <c r="O19" s="7"/>
      <c r="P19" s="7"/>
      <c r="Q19" s="7"/>
      <c r="R19" s="7"/>
      <c r="S19" s="7"/>
    </row>
    <row r="20" spans="1:19" x14ac:dyDescent="0.35">
      <c r="A20" s="6"/>
      <c r="B20" s="7"/>
      <c r="C20" s="7"/>
      <c r="D20" s="7"/>
      <c r="E20" s="7"/>
      <c r="F20" s="7"/>
      <c r="G20" s="7"/>
      <c r="H20" s="7"/>
      <c r="I20" s="7"/>
      <c r="K20" s="6">
        <v>42257</v>
      </c>
      <c r="L20" s="7" t="s">
        <v>26</v>
      </c>
      <c r="M20" s="7"/>
      <c r="N20" s="7"/>
      <c r="O20" s="7"/>
      <c r="P20" s="7"/>
      <c r="Q20" s="7"/>
      <c r="R20" s="7"/>
      <c r="S20" s="7"/>
    </row>
    <row r="21" spans="1:19" x14ac:dyDescent="0.35">
      <c r="A21" s="6"/>
      <c r="B21" s="7"/>
      <c r="C21" s="7"/>
      <c r="D21" s="7"/>
      <c r="E21" s="7"/>
      <c r="F21" s="7"/>
      <c r="G21" s="7"/>
      <c r="H21" s="7"/>
      <c r="I21" s="7"/>
      <c r="K21" s="6">
        <v>42287</v>
      </c>
      <c r="L21" s="7" t="s">
        <v>26</v>
      </c>
      <c r="M21" s="7"/>
      <c r="N21" s="7"/>
      <c r="O21" s="7"/>
      <c r="P21" s="7"/>
      <c r="Q21" s="7"/>
      <c r="R21" s="7"/>
      <c r="S21" s="7"/>
    </row>
    <row r="22" spans="1:19" x14ac:dyDescent="0.35">
      <c r="A22" s="6"/>
      <c r="B22" s="7"/>
      <c r="C22" s="7"/>
      <c r="D22" s="7"/>
      <c r="E22" s="7"/>
      <c r="F22" s="7"/>
      <c r="G22" s="7"/>
      <c r="H22" s="7"/>
      <c r="I22" s="7"/>
      <c r="K22" s="6">
        <v>42318</v>
      </c>
      <c r="L22" s="7" t="s">
        <v>26</v>
      </c>
      <c r="M22" s="7"/>
      <c r="N22" s="7"/>
      <c r="O22" s="7"/>
      <c r="P22" s="7"/>
      <c r="Q22" s="7"/>
      <c r="R22" s="7"/>
      <c r="S22" s="7"/>
    </row>
    <row r="23" spans="1:19" x14ac:dyDescent="0.35">
      <c r="A23" s="6"/>
      <c r="B23" s="7"/>
      <c r="C23" s="7"/>
      <c r="D23" s="7"/>
      <c r="E23" s="7"/>
      <c r="F23" s="7"/>
      <c r="G23" s="7"/>
      <c r="H23" s="7"/>
      <c r="I23" s="7"/>
      <c r="K23" s="6">
        <v>42348</v>
      </c>
      <c r="L23" s="7" t="s">
        <v>26</v>
      </c>
      <c r="M23" s="7"/>
      <c r="N23" s="7"/>
      <c r="O23" s="7"/>
      <c r="P23" s="7"/>
      <c r="Q23" s="7"/>
      <c r="R23" s="7"/>
      <c r="S23" s="7"/>
    </row>
    <row r="24" spans="1:19" x14ac:dyDescent="0.35">
      <c r="A24" s="6"/>
      <c r="B24" s="7"/>
      <c r="C24" s="7"/>
      <c r="D24" s="7"/>
      <c r="E24" s="7"/>
      <c r="F24" s="7"/>
      <c r="G24" s="7"/>
      <c r="H24" s="7"/>
      <c r="I24" s="7"/>
      <c r="K24" s="6">
        <v>42379</v>
      </c>
      <c r="L24" s="7" t="s">
        <v>26</v>
      </c>
      <c r="M24" s="7"/>
      <c r="N24" s="7"/>
      <c r="O24" s="7"/>
      <c r="P24" s="7"/>
      <c r="Q24" s="7"/>
      <c r="R24" s="7"/>
      <c r="S24" s="7"/>
    </row>
    <row r="25" spans="1:19" x14ac:dyDescent="0.35">
      <c r="A25" s="6"/>
      <c r="B25" s="7"/>
      <c r="C25" s="7"/>
      <c r="D25" s="7"/>
      <c r="E25" s="7"/>
      <c r="F25" s="7"/>
      <c r="G25" s="7"/>
      <c r="H25" s="7"/>
      <c r="I25" s="7"/>
      <c r="K25" s="6">
        <v>42410</v>
      </c>
      <c r="L25" s="7" t="s">
        <v>26</v>
      </c>
      <c r="M25" s="7"/>
      <c r="N25" s="7"/>
      <c r="O25" s="7"/>
      <c r="P25" s="7"/>
      <c r="Q25" s="7"/>
      <c r="R25" s="7"/>
      <c r="S25" s="7"/>
    </row>
    <row r="26" spans="1:19" x14ac:dyDescent="0.35">
      <c r="A26" s="6"/>
      <c r="B26" s="7"/>
      <c r="C26" s="7"/>
      <c r="D26" s="7"/>
      <c r="E26" s="7"/>
      <c r="F26" s="7"/>
      <c r="G26" s="7"/>
      <c r="H26" s="7"/>
      <c r="I26" s="7"/>
      <c r="K26" s="6">
        <v>42439</v>
      </c>
      <c r="L26" s="7" t="s">
        <v>26</v>
      </c>
      <c r="M26" s="7"/>
      <c r="N26" s="7"/>
      <c r="O26" s="7"/>
      <c r="P26" s="7"/>
      <c r="Q26" s="7"/>
      <c r="R26" s="7"/>
      <c r="S26" s="7"/>
    </row>
    <row r="27" spans="1:19" x14ac:dyDescent="0.35">
      <c r="A27" s="6"/>
      <c r="B27" s="7"/>
      <c r="C27" s="7"/>
      <c r="D27" s="7"/>
      <c r="E27" s="7"/>
      <c r="F27" s="7"/>
      <c r="G27" s="7"/>
      <c r="H27" s="7"/>
      <c r="I27" s="7"/>
      <c r="K27" s="6">
        <v>42470</v>
      </c>
      <c r="L27" s="7" t="s">
        <v>26</v>
      </c>
      <c r="M27" s="7"/>
      <c r="N27" s="7"/>
      <c r="O27" s="7"/>
      <c r="P27" s="7"/>
      <c r="Q27" s="7"/>
      <c r="R27" s="7"/>
      <c r="S27" s="7"/>
    </row>
    <row r="28" spans="1:19" x14ac:dyDescent="0.35">
      <c r="K28" s="6">
        <v>42470</v>
      </c>
      <c r="L28" s="7" t="s">
        <v>27</v>
      </c>
      <c r="M28" s="7"/>
      <c r="N28" s="7"/>
      <c r="O28" s="7"/>
      <c r="P28" s="7"/>
      <c r="Q28" s="7"/>
      <c r="R28" s="7"/>
      <c r="S28" s="7"/>
    </row>
    <row r="29" spans="1:19" x14ac:dyDescent="0.35">
      <c r="A29" s="13" t="s">
        <v>19</v>
      </c>
      <c r="B29" s="13"/>
      <c r="K29" s="3"/>
    </row>
    <row r="30" spans="1:19" x14ac:dyDescent="0.35">
      <c r="A30" s="9" t="str">
        <f t="array" ref="A30:B33">_xll.TestScript(B2,B3,B4,B5,A12:A27,B12:B27,B9,B8)</f>
        <v>ALIVE</v>
      </c>
      <c r="B30" s="10">
        <v>0.43000000000000022</v>
      </c>
      <c r="K30" s="11" t="s">
        <v>34</v>
      </c>
    </row>
    <row r="31" spans="1:19" x14ac:dyDescent="0.35">
      <c r="A31" s="9" t="str">
        <v>AUTOCALL</v>
      </c>
      <c r="B31" s="10">
        <v>89.1</v>
      </c>
      <c r="K31" s="6">
        <v>42104</v>
      </c>
      <c r="L31" s="7" t="s">
        <v>25</v>
      </c>
      <c r="M31" s="7"/>
      <c r="N31" s="7"/>
      <c r="O31" s="7"/>
      <c r="P31" s="7"/>
      <c r="Q31" s="7"/>
      <c r="R31" s="7"/>
      <c r="S31" s="7"/>
    </row>
    <row r="32" spans="1:19" x14ac:dyDescent="0.35">
      <c r="A32" s="9" t="e">
        <v>#N/A</v>
      </c>
      <c r="B32" s="10" t="e">
        <v>#N/A</v>
      </c>
      <c r="K32" s="6">
        <v>42470</v>
      </c>
      <c r="L32" s="7" t="s">
        <v>28</v>
      </c>
      <c r="M32" s="7"/>
      <c r="N32" s="7"/>
      <c r="O32" s="7"/>
      <c r="P32" s="7"/>
      <c r="Q32" s="7"/>
      <c r="R32" s="7"/>
      <c r="S32" s="7"/>
    </row>
    <row r="33" spans="1:19" x14ac:dyDescent="0.35">
      <c r="A33" s="9" t="e">
        <v>#N/A</v>
      </c>
      <c r="B33" s="10" t="e">
        <v>#N/A</v>
      </c>
      <c r="K33" s="6">
        <v>42835</v>
      </c>
      <c r="L33" s="7" t="s">
        <v>29</v>
      </c>
      <c r="M33" s="7"/>
      <c r="N33" s="7"/>
      <c r="O33" s="7"/>
      <c r="P33" s="7"/>
      <c r="Q33" s="7"/>
      <c r="R33" s="7"/>
      <c r="S33" s="7"/>
    </row>
    <row r="34" spans="1:19" x14ac:dyDescent="0.35">
      <c r="K34" s="6">
        <v>43200</v>
      </c>
      <c r="L34" s="7" t="s">
        <v>30</v>
      </c>
      <c r="M34" s="7"/>
      <c r="N34" s="7"/>
      <c r="O34" s="7"/>
      <c r="P34" s="7"/>
      <c r="Q34" s="7"/>
      <c r="R34" s="7"/>
      <c r="S34" s="7"/>
    </row>
    <row r="35" spans="1:19" x14ac:dyDescent="0.35">
      <c r="K35" s="3"/>
    </row>
    <row r="36" spans="1:19" x14ac:dyDescent="0.35">
      <c r="K36" s="11" t="s">
        <v>35</v>
      </c>
    </row>
    <row r="37" spans="1:19" x14ac:dyDescent="0.35">
      <c r="K37" s="6">
        <v>42104</v>
      </c>
      <c r="L37" s="7" t="s">
        <v>20</v>
      </c>
      <c r="M37" s="7"/>
      <c r="N37" s="7"/>
      <c r="O37" s="7"/>
      <c r="P37" s="7"/>
      <c r="Q37" s="7"/>
      <c r="R37" s="7"/>
      <c r="S37" s="7"/>
    </row>
    <row r="38" spans="1:19" x14ac:dyDescent="0.35">
      <c r="K38" s="6">
        <v>42105</v>
      </c>
      <c r="L38" s="7" t="s">
        <v>21</v>
      </c>
      <c r="M38" s="7"/>
      <c r="N38" s="7"/>
      <c r="O38" s="7"/>
      <c r="P38" s="7"/>
      <c r="Q38" s="7"/>
      <c r="R38" s="7"/>
      <c r="S38" s="7"/>
    </row>
    <row r="39" spans="1:19" x14ac:dyDescent="0.35">
      <c r="K39" s="6">
        <v>42106</v>
      </c>
      <c r="L39" s="7" t="s">
        <v>22</v>
      </c>
      <c r="M39" s="7"/>
      <c r="N39" s="7"/>
      <c r="O39" s="7"/>
      <c r="P39" s="7"/>
      <c r="Q39" s="7"/>
      <c r="R39" s="7"/>
      <c r="S39" s="7"/>
    </row>
    <row r="40" spans="1:19" x14ac:dyDescent="0.35">
      <c r="K40" s="6">
        <v>42107</v>
      </c>
      <c r="L40" s="7" t="s">
        <v>23</v>
      </c>
      <c r="M40" s="7"/>
      <c r="N40" s="7"/>
      <c r="O40" s="7"/>
      <c r="P40" s="7"/>
      <c r="Q40" s="7"/>
      <c r="R40" s="7"/>
      <c r="S40" s="7"/>
    </row>
  </sheetData>
  <mergeCells count="4">
    <mergeCell ref="A1:B1"/>
    <mergeCell ref="A7:B7"/>
    <mergeCell ref="A11:I11"/>
    <mergeCell ref="A29:B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activeCell="C43" sqref="C43"/>
    </sheetView>
  </sheetViews>
  <sheetFormatPr defaultRowHeight="14.5" x14ac:dyDescent="0.35"/>
  <cols>
    <col min="1" max="1" width="11.54296875" style="3" bestFit="1" customWidth="1"/>
    <col min="2" max="2" width="10.1796875" style="3" bestFit="1" customWidth="1"/>
    <col min="3" max="3" width="11.08984375" style="3" bestFit="1" customWidth="1"/>
    <col min="4" max="16384" width="8.7265625" style="3"/>
  </cols>
  <sheetData>
    <row r="1" spans="1:9" x14ac:dyDescent="0.35">
      <c r="A1" s="13" t="s">
        <v>15</v>
      </c>
      <c r="B1" s="13"/>
    </row>
    <row r="2" spans="1:9" x14ac:dyDescent="0.35">
      <c r="A2" s="3" t="s">
        <v>0</v>
      </c>
      <c r="B2" s="4">
        <v>42104</v>
      </c>
    </row>
    <row r="3" spans="1:9" x14ac:dyDescent="0.35">
      <c r="A3" s="3" t="s">
        <v>1</v>
      </c>
      <c r="B3" s="3">
        <v>100</v>
      </c>
    </row>
    <row r="4" spans="1:9" x14ac:dyDescent="0.35">
      <c r="A4" s="3" t="s">
        <v>2</v>
      </c>
      <c r="B4" s="5">
        <v>0.2</v>
      </c>
    </row>
    <row r="5" spans="1:9" x14ac:dyDescent="0.35">
      <c r="A5" s="3" t="s">
        <v>3</v>
      </c>
      <c r="B5" s="5">
        <v>0</v>
      </c>
    </row>
    <row r="8" spans="1:9" x14ac:dyDescent="0.35">
      <c r="A8" s="13" t="s">
        <v>4</v>
      </c>
      <c r="B8" s="13"/>
      <c r="C8" s="13"/>
      <c r="D8" s="13"/>
      <c r="E8" s="13"/>
      <c r="F8" s="13"/>
      <c r="G8" s="13"/>
      <c r="H8" s="13"/>
      <c r="I8" s="13"/>
    </row>
    <row r="9" spans="1:9" x14ac:dyDescent="0.35">
      <c r="A9" s="6">
        <v>42104</v>
      </c>
      <c r="B9" s="7" t="s">
        <v>5</v>
      </c>
      <c r="C9" s="7"/>
      <c r="D9" s="7"/>
      <c r="E9" s="7"/>
      <c r="F9" s="7"/>
      <c r="G9" s="7"/>
      <c r="H9" s="7"/>
      <c r="I9" s="7"/>
    </row>
    <row r="10" spans="1:9" x14ac:dyDescent="0.35">
      <c r="A10" s="6">
        <v>42470</v>
      </c>
      <c r="B10" s="7" t="s">
        <v>6</v>
      </c>
      <c r="C10" s="7"/>
      <c r="D10" s="7"/>
      <c r="E10" s="7"/>
      <c r="F10" s="7"/>
      <c r="G10" s="7"/>
      <c r="H10" s="7"/>
      <c r="I10" s="7"/>
    </row>
    <row r="11" spans="1:9" x14ac:dyDescent="0.35">
      <c r="A11" s="6">
        <v>42835</v>
      </c>
      <c r="B11" s="7" t="s">
        <v>7</v>
      </c>
      <c r="C11" s="7"/>
      <c r="D11" s="7"/>
      <c r="E11" s="7"/>
      <c r="F11" s="7"/>
      <c r="G11" s="7"/>
      <c r="H11" s="7"/>
      <c r="I11" s="7"/>
    </row>
    <row r="12" spans="1:9" x14ac:dyDescent="0.35">
      <c r="A12" s="6">
        <v>43200</v>
      </c>
      <c r="B12" s="7" t="s">
        <v>12</v>
      </c>
      <c r="C12" s="7"/>
      <c r="D12" s="7"/>
      <c r="E12" s="7"/>
      <c r="F12" s="7"/>
      <c r="G12" s="7"/>
      <c r="H12" s="7"/>
      <c r="I12" s="7"/>
    </row>
    <row r="13" spans="1:9" x14ac:dyDescent="0.35">
      <c r="A13" s="6"/>
      <c r="B13" s="7"/>
      <c r="C13" s="7"/>
      <c r="D13" s="7"/>
      <c r="E13" s="7"/>
      <c r="F13" s="7"/>
      <c r="G13" s="7"/>
      <c r="H13" s="7"/>
      <c r="I13" s="7"/>
    </row>
    <row r="14" spans="1:9" x14ac:dyDescent="0.35">
      <c r="A14" s="6"/>
      <c r="B14" s="7"/>
      <c r="C14" s="7"/>
      <c r="D14" s="7"/>
      <c r="E14" s="7"/>
      <c r="F14" s="7"/>
      <c r="G14" s="7"/>
      <c r="H14" s="7"/>
      <c r="I14" s="7"/>
    </row>
    <row r="15" spans="1:9" x14ac:dyDescent="0.35">
      <c r="A15" s="6"/>
      <c r="B15" s="7"/>
      <c r="C15" s="7"/>
      <c r="D15" s="7"/>
      <c r="E15" s="7"/>
      <c r="F15" s="7"/>
      <c r="G15" s="7"/>
      <c r="H15" s="7"/>
      <c r="I15" s="7"/>
    </row>
    <row r="17" spans="1:4" x14ac:dyDescent="0.35">
      <c r="A17" s="20" t="s">
        <v>36</v>
      </c>
      <c r="B17" s="21" t="b">
        <v>0</v>
      </c>
      <c r="C17" s="21" t="b">
        <f>B17</f>
        <v>0</v>
      </c>
    </row>
    <row r="18" spans="1:4" x14ac:dyDescent="0.35">
      <c r="A18" s="20" t="s">
        <v>9</v>
      </c>
      <c r="B18" s="18">
        <v>1</v>
      </c>
      <c r="C18" s="18">
        <v>1</v>
      </c>
    </row>
    <row r="19" spans="1:4" x14ac:dyDescent="0.35">
      <c r="A19" s="20" t="s">
        <v>10</v>
      </c>
      <c r="B19" s="14">
        <v>0</v>
      </c>
      <c r="C19" s="14">
        <v>1E-4</v>
      </c>
    </row>
    <row r="20" spans="1:4" x14ac:dyDescent="0.35">
      <c r="A20" s="20" t="s">
        <v>11</v>
      </c>
      <c r="B20" s="19">
        <v>0</v>
      </c>
      <c r="C20" s="19">
        <v>0</v>
      </c>
    </row>
    <row r="21" spans="1:4" x14ac:dyDescent="0.35">
      <c r="A21" s="20" t="s">
        <v>13</v>
      </c>
      <c r="B21" s="15">
        <v>2</v>
      </c>
      <c r="C21" s="15">
        <v>2</v>
      </c>
    </row>
    <row r="22" spans="1:4" x14ac:dyDescent="0.35">
      <c r="B22" s="15"/>
      <c r="C22" s="15"/>
    </row>
    <row r="23" spans="1:4" x14ac:dyDescent="0.35">
      <c r="A23" s="22" t="s">
        <v>8</v>
      </c>
      <c r="B23" s="22" t="s">
        <v>37</v>
      </c>
      <c r="C23" s="22" t="s">
        <v>38</v>
      </c>
      <c r="D23" s="22" t="s">
        <v>14</v>
      </c>
    </row>
    <row r="24" spans="1:4" x14ac:dyDescent="0.35">
      <c r="A24" s="16">
        <v>10000</v>
      </c>
      <c r="B24" s="17">
        <f>INDEX(_xll.TestScript($B$2,$B$3+B$20,$B$4+B$19,$B$5,$A$9:$A$15,$B$9:$B$15,$A24,$A24,B$17,B$18),B$21,2)</f>
        <v>90.223999999997403</v>
      </c>
      <c r="C24" s="17">
        <f>INDEX(_xll.TestScript($B$2,$B$3+C$20,$B$4+C$19,$B$5,$A$9:$A$15,$B$9:$B$15,$A24,$A24,C$17,C$18),C$21,2)</f>
        <v>90.223999999997403</v>
      </c>
      <c r="D24" s="17">
        <f>(C24-B24)/$C$19</f>
        <v>0</v>
      </c>
    </row>
    <row r="25" spans="1:4" x14ac:dyDescent="0.35">
      <c r="A25" s="16">
        <v>20000</v>
      </c>
      <c r="B25" s="17">
        <f>INDEX(_xll.TestScript($B$2,$B$3+B$20,$B$4+B$19,$B$5,$A$9:$A$15,$B$9:$B$15,$A25,$A25,B$17,B$18),B$21,2)</f>
        <v>90.457999999982079</v>
      </c>
      <c r="C25" s="17">
        <f>INDEX(_xll.TestScript($B$2,$B$3+C$20,$B$4+C$19,$B$5,$A$9:$A$15,$B$9:$B$15,$A25,$A25,C$17,C$18),C$21,2)</f>
        <v>90.458499999982081</v>
      </c>
      <c r="D25" s="17">
        <f t="shared" ref="D25:D33" si="0">(C25-B25)/$C$19</f>
        <v>5.0000000000238742</v>
      </c>
    </row>
    <row r="26" spans="1:4" x14ac:dyDescent="0.35">
      <c r="A26" s="16">
        <v>30000</v>
      </c>
      <c r="B26" s="17">
        <f>INDEX(_xll.TestScript($B$2,$B$3+B$20,$B$4+B$19,$B$5,$A$9:$A$15,$B$9:$B$15,$A26,$A26,B$17,B$18),B$21,2)</f>
        <v>90.362999999973212</v>
      </c>
      <c r="C26" s="17">
        <f>INDEX(_xll.TestScript($B$2,$B$3+C$20,$B$4+C$19,$B$5,$A$9:$A$15,$B$9:$B$15,$A26,$A26,C$17,C$18),C$21,2)</f>
        <v>90.361999999973222</v>
      </c>
      <c r="D26" s="17">
        <f t="shared" si="0"/>
        <v>-9.9999999999056399</v>
      </c>
    </row>
    <row r="27" spans="1:4" x14ac:dyDescent="0.35">
      <c r="A27" s="16">
        <v>40000</v>
      </c>
      <c r="B27" s="17">
        <f>INDEX(_xll.TestScript($B$2,$B$3+B$20,$B$4+B$19,$B$5,$A$9:$A$15,$B$9:$B$15,$A27,$A27,B$17,B$18),B$21,2)</f>
        <v>90.220750000007257</v>
      </c>
      <c r="C27" s="17">
        <f>INDEX(_xll.TestScript($B$2,$B$3+C$20,$B$4+C$19,$B$5,$A$9:$A$15,$B$9:$B$15,$A27,$A27,C$17,C$18),C$21,2)</f>
        <v>90.219000000007256</v>
      </c>
      <c r="D27" s="17">
        <f t="shared" si="0"/>
        <v>-17.500000000012506</v>
      </c>
    </row>
    <row r="28" spans="1:4" x14ac:dyDescent="0.35">
      <c r="A28" s="16">
        <v>50000</v>
      </c>
      <c r="B28" s="17">
        <f>INDEX(_xll.TestScript($B$2,$B$3+B$20,$B$4+B$19,$B$5,$A$9:$A$15,$B$9:$B$15,$A28,$A28,B$17,B$18),B$21,2)</f>
        <v>90.160200000033896</v>
      </c>
      <c r="C28" s="17">
        <f>INDEX(_xll.TestScript($B$2,$B$3+C$20,$B$4+C$19,$B$5,$A$9:$A$15,$B$9:$B$15,$A28,$A28,C$17,C$18),C$21,2)</f>
        <v>90.157800000033887</v>
      </c>
      <c r="D28" s="17">
        <f t="shared" si="0"/>
        <v>-24.000000000086175</v>
      </c>
    </row>
    <row r="29" spans="1:4" x14ac:dyDescent="0.35">
      <c r="A29" s="16">
        <v>60000</v>
      </c>
      <c r="B29" s="17">
        <f>INDEX(_xll.TestScript($B$2,$B$3+B$20,$B$4+B$19,$B$5,$A$9:$A$15,$B$9:$B$15,$A29,$A29,B$17,B$18),B$21,2)</f>
        <v>90.35516666665481</v>
      </c>
      <c r="C29" s="17">
        <f>INDEX(_xll.TestScript($B$2,$B$3+C$20,$B$4+C$19,$B$5,$A$9:$A$15,$B$9:$B$15,$A29,$A29,C$17,C$18),C$21,2)</f>
        <v>90.35516666665481</v>
      </c>
      <c r="D29" s="17">
        <f t="shared" si="0"/>
        <v>0</v>
      </c>
    </row>
    <row r="30" spans="1:4" x14ac:dyDescent="0.35">
      <c r="A30" s="16">
        <v>70000</v>
      </c>
      <c r="B30" s="17">
        <f>INDEX(_xll.TestScript($B$2,$B$3+B$20,$B$4+B$19,$B$5,$A$9:$A$15,$B$9:$B$15,$A30,$A30,B$17,B$18),B$21,2)</f>
        <v>90.347142857107599</v>
      </c>
      <c r="C30" s="17">
        <f>INDEX(_xll.TestScript($B$2,$B$3+C$20,$B$4+C$19,$B$5,$A$9:$A$15,$B$9:$B$15,$A30,$A30,C$17,C$18),C$21,2)</f>
        <v>90.347142857107599</v>
      </c>
      <c r="D30" s="17">
        <f t="shared" si="0"/>
        <v>0</v>
      </c>
    </row>
    <row r="31" spans="1:4" x14ac:dyDescent="0.35">
      <c r="A31" s="16">
        <v>80000</v>
      </c>
      <c r="B31" s="17">
        <f>INDEX(_xll.TestScript($B$2,$B$3+B$20,$B$4+B$19,$B$5,$A$9:$A$15,$B$9:$B$15,$A31,$A31,B$17,B$18),B$21,2)</f>
        <v>90.409624999958481</v>
      </c>
      <c r="C31" s="17">
        <f>INDEX(_xll.TestScript($B$2,$B$3+C$20,$B$4+C$19,$B$5,$A$9:$A$15,$B$9:$B$15,$A31,$A31,C$17,C$18),C$21,2)</f>
        <v>90.40787499995848</v>
      </c>
      <c r="D31" s="17">
        <f t="shared" si="0"/>
        <v>-17.500000000012506</v>
      </c>
    </row>
    <row r="32" spans="1:4" x14ac:dyDescent="0.35">
      <c r="A32" s="16">
        <v>90000</v>
      </c>
      <c r="B32" s="17">
        <f>INDEX(_xll.TestScript($B$2,$B$3+B$20,$B$4+B$19,$B$5,$A$9:$A$15,$B$9:$B$15,$A32,$A32,B$17,B$18),B$21,2)</f>
        <v>90.3547777778181</v>
      </c>
      <c r="C32" s="17">
        <f>INDEX(_xll.TestScript($B$2,$B$3+C$20,$B$4+C$19,$B$5,$A$9:$A$15,$B$9:$B$15,$A32,$A32,C$17,C$18),C$21,2)</f>
        <v>90.353222222262531</v>
      </c>
      <c r="D32" s="17">
        <f t="shared" si="0"/>
        <v>-15.55555555569299</v>
      </c>
    </row>
    <row r="33" spans="1:4" x14ac:dyDescent="0.35">
      <c r="A33" s="16">
        <v>100000</v>
      </c>
      <c r="B33" s="17">
        <f>INDEX(_xll.TestScript($B$2,$B$3+B$20,$B$4+B$19,$B$5,$A$9:$A$15,$B$9:$B$15,$A33,$A33,B$17,B$18),B$21,2)</f>
        <v>90.23189999997507</v>
      </c>
      <c r="C33" s="17">
        <f>INDEX(_xll.TestScript($B$2,$B$3+C$20,$B$4+C$19,$B$5,$A$9:$A$15,$B$9:$B$15,$A33,$A33,C$17,C$18),C$21,2)</f>
        <v>90.229899999975089</v>
      </c>
      <c r="D33" s="17">
        <f t="shared" si="0"/>
        <v>-19.99999999981128</v>
      </c>
    </row>
  </sheetData>
  <mergeCells count="2">
    <mergeCell ref="A1:B1"/>
    <mergeCell ref="A8:I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tabSelected="1" workbookViewId="0">
      <selection activeCell="B9" sqref="B9"/>
    </sheetView>
  </sheetViews>
  <sheetFormatPr defaultRowHeight="14.5" x14ac:dyDescent="0.35"/>
  <cols>
    <col min="1" max="1" width="11.54296875" bestFit="1" customWidth="1"/>
    <col min="2" max="2" width="10.1796875" bestFit="1" customWidth="1"/>
    <col min="3" max="3" width="11.08984375" bestFit="1" customWidth="1"/>
    <col min="5" max="6" width="10.08984375" bestFit="1" customWidth="1"/>
  </cols>
  <sheetData>
    <row r="1" spans="1:9" x14ac:dyDescent="0.35">
      <c r="A1" s="13" t="s">
        <v>15</v>
      </c>
      <c r="B1" s="13"/>
    </row>
    <row r="2" spans="1:9" x14ac:dyDescent="0.35">
      <c r="A2" t="s">
        <v>0</v>
      </c>
      <c r="B2" s="1">
        <v>42104</v>
      </c>
    </row>
    <row r="3" spans="1:9" x14ac:dyDescent="0.35">
      <c r="A3" t="s">
        <v>1</v>
      </c>
      <c r="B3">
        <v>100</v>
      </c>
    </row>
    <row r="4" spans="1:9" x14ac:dyDescent="0.35">
      <c r="A4" t="s">
        <v>2</v>
      </c>
      <c r="B4" s="2">
        <v>0.2</v>
      </c>
    </row>
    <row r="5" spans="1:9" x14ac:dyDescent="0.35">
      <c r="A5" t="s">
        <v>3</v>
      </c>
      <c r="B5" s="2">
        <v>0</v>
      </c>
    </row>
    <row r="8" spans="1:9" x14ac:dyDescent="0.35">
      <c r="A8" s="13" t="s">
        <v>4</v>
      </c>
      <c r="B8" s="13"/>
      <c r="C8" s="13"/>
      <c r="D8" s="13"/>
      <c r="E8" s="13"/>
      <c r="F8" s="13"/>
      <c r="G8" s="13"/>
      <c r="H8" s="13"/>
      <c r="I8" s="13"/>
    </row>
    <row r="9" spans="1:9" x14ac:dyDescent="0.35">
      <c r="A9" s="6">
        <v>42104</v>
      </c>
      <c r="B9" s="7" t="s">
        <v>5</v>
      </c>
      <c r="C9" s="7"/>
      <c r="D9" s="7"/>
      <c r="E9" s="7"/>
      <c r="F9" s="7"/>
      <c r="G9" s="7"/>
      <c r="H9" s="7"/>
      <c r="I9" s="7"/>
    </row>
    <row r="10" spans="1:9" x14ac:dyDescent="0.35">
      <c r="A10" s="6">
        <v>42470</v>
      </c>
      <c r="B10" s="7" t="s">
        <v>6</v>
      </c>
      <c r="C10" s="7"/>
      <c r="D10" s="7"/>
      <c r="E10" s="7"/>
      <c r="F10" s="7"/>
      <c r="G10" s="7"/>
      <c r="H10" s="7"/>
      <c r="I10" s="7"/>
    </row>
    <row r="11" spans="1:9" x14ac:dyDescent="0.35">
      <c r="A11" s="6">
        <v>42835</v>
      </c>
      <c r="B11" s="7" t="s">
        <v>7</v>
      </c>
      <c r="C11" s="7"/>
      <c r="D11" s="7"/>
      <c r="E11" s="7"/>
      <c r="F11" s="7"/>
      <c r="G11" s="7"/>
      <c r="H11" s="7"/>
      <c r="I11" s="7"/>
    </row>
    <row r="12" spans="1:9" x14ac:dyDescent="0.35">
      <c r="A12" s="6">
        <v>43200</v>
      </c>
      <c r="B12" s="7" t="s">
        <v>12</v>
      </c>
      <c r="C12" s="7"/>
      <c r="D12" s="7"/>
      <c r="E12" s="7"/>
      <c r="F12" s="7"/>
      <c r="G12" s="7"/>
      <c r="H12" s="7"/>
      <c r="I12" s="7"/>
    </row>
    <row r="13" spans="1:9" x14ac:dyDescent="0.35">
      <c r="A13" s="6"/>
      <c r="B13" s="7"/>
      <c r="C13" s="7"/>
      <c r="D13" s="7"/>
      <c r="E13" s="7"/>
      <c r="F13" s="7"/>
      <c r="G13" s="7"/>
      <c r="H13" s="7"/>
      <c r="I13" s="7"/>
    </row>
    <row r="14" spans="1:9" x14ac:dyDescent="0.35">
      <c r="A14" s="6"/>
      <c r="B14" s="7"/>
      <c r="C14" s="7"/>
      <c r="D14" s="7"/>
      <c r="E14" s="7"/>
      <c r="F14" s="7"/>
      <c r="G14" s="7"/>
      <c r="H14" s="7"/>
      <c r="I14" s="7"/>
    </row>
    <row r="15" spans="1:9" x14ac:dyDescent="0.35">
      <c r="A15" s="6"/>
      <c r="B15" s="7"/>
      <c r="C15" s="7"/>
      <c r="D15" s="7"/>
      <c r="E15" s="7"/>
      <c r="F15" s="7"/>
      <c r="G15" s="7"/>
      <c r="H15" s="7"/>
      <c r="I15" s="7"/>
    </row>
    <row r="17" spans="1:6" x14ac:dyDescent="0.35">
      <c r="A17" s="20" t="s">
        <v>36</v>
      </c>
      <c r="B17" s="21" t="b">
        <v>1</v>
      </c>
      <c r="C17" s="21" t="b">
        <f>B17</f>
        <v>1</v>
      </c>
    </row>
    <row r="18" spans="1:6" x14ac:dyDescent="0.35">
      <c r="A18" s="20" t="s">
        <v>9</v>
      </c>
      <c r="B18" s="18">
        <v>1</v>
      </c>
      <c r="C18" s="18">
        <v>1</v>
      </c>
    </row>
    <row r="19" spans="1:6" x14ac:dyDescent="0.35">
      <c r="A19" s="20" t="s">
        <v>10</v>
      </c>
      <c r="B19" s="14">
        <v>0</v>
      </c>
      <c r="C19" s="14">
        <v>1E-4</v>
      </c>
    </row>
    <row r="20" spans="1:6" x14ac:dyDescent="0.35">
      <c r="A20" s="20" t="s">
        <v>11</v>
      </c>
      <c r="B20" s="19">
        <v>0</v>
      </c>
      <c r="C20" s="19">
        <v>0</v>
      </c>
    </row>
    <row r="21" spans="1:6" x14ac:dyDescent="0.35">
      <c r="A21" s="20" t="s">
        <v>13</v>
      </c>
      <c r="B21" s="15">
        <v>2</v>
      </c>
      <c r="C21" s="15">
        <v>2</v>
      </c>
    </row>
    <row r="23" spans="1:6" x14ac:dyDescent="0.35">
      <c r="A23" s="22" t="s">
        <v>8</v>
      </c>
      <c r="B23" s="22" t="s">
        <v>37</v>
      </c>
      <c r="C23" s="22" t="s">
        <v>38</v>
      </c>
      <c r="D23" s="22" t="s">
        <v>14</v>
      </c>
      <c r="E23" s="22" t="s">
        <v>39</v>
      </c>
      <c r="F23" s="22" t="s">
        <v>40</v>
      </c>
    </row>
    <row r="24" spans="1:6" x14ac:dyDescent="0.35">
      <c r="A24" s="16">
        <v>10000</v>
      </c>
      <c r="B24" s="17">
        <f>INDEX(_xll.TestScript($B$2,$B$3+B$20,$B$4+B$19,$B$5,$A$9:$A$15,$B$9:$B$15,$A24,$A24,B$17,B$18),B$21,2)</f>
        <v>90.215907490570302</v>
      </c>
      <c r="C24" s="17">
        <f>INDEX(_xll.TestScript($B$2,$B$3+C$20,$B$4+C$19,$B$5,$A$9:$A$15,$B$9:$B$15,$A24,$A24,C$17,C$18),C$21,2)</f>
        <v>90.214292267614184</v>
      </c>
      <c r="D24" s="17">
        <f>(C24-B24)/$C$19</f>
        <v>-16.152229561186005</v>
      </c>
      <c r="E24" s="17">
        <f>Sharp!B24</f>
        <v>90.223999999997403</v>
      </c>
      <c r="F24" s="17">
        <f>Sharp!D24</f>
        <v>0</v>
      </c>
    </row>
    <row r="25" spans="1:6" x14ac:dyDescent="0.35">
      <c r="A25" s="16">
        <v>20000</v>
      </c>
      <c r="B25" s="17">
        <f>INDEX(_xll.TestScript($B$2,$B$3+B$20,$B$4+B$19,$B$5,$A$9:$A$15,$B$9:$B$15,$A25,$A25,B$17,B$18),B$21,2)</f>
        <v>90.454515971934811</v>
      </c>
      <c r="C25" s="17">
        <f>INDEX(_xll.TestScript($B$2,$B$3+C$20,$B$4+C$19,$B$5,$A$9:$A$15,$B$9:$B$15,$A25,$A25,C$17,C$18),C$21,2)</f>
        <v>90.452750484916848</v>
      </c>
      <c r="D25" s="17">
        <f t="shared" ref="D25:D33" si="0">(C25-B25)/$C$19</f>
        <v>-17.654870179626414</v>
      </c>
      <c r="E25" s="17">
        <f>Sharp!B25</f>
        <v>90.457999999982079</v>
      </c>
      <c r="F25" s="17">
        <f>Sharp!D25</f>
        <v>5.0000000000238742</v>
      </c>
    </row>
    <row r="26" spans="1:6" x14ac:dyDescent="0.35">
      <c r="A26" s="16">
        <v>30000</v>
      </c>
      <c r="B26" s="17">
        <f>INDEX(_xll.TestScript($B$2,$B$3+B$20,$B$4+B$19,$B$5,$A$9:$A$15,$B$9:$B$15,$A26,$A26,B$17,B$18),B$21,2)</f>
        <v>90.391596897884611</v>
      </c>
      <c r="C26" s="17">
        <f>INDEX(_xll.TestScript($B$2,$B$3+C$20,$B$4+C$19,$B$5,$A$9:$A$15,$B$9:$B$15,$A26,$A26,C$17,C$18),C$21,2)</f>
        <v>90.389930808940818</v>
      </c>
      <c r="D26" s="17">
        <f t="shared" si="0"/>
        <v>-16.660889437929427</v>
      </c>
      <c r="E26" s="17">
        <f>Sharp!B26</f>
        <v>90.362999999973212</v>
      </c>
      <c r="F26" s="17">
        <f>Sharp!D26</f>
        <v>-9.9999999999056399</v>
      </c>
    </row>
    <row r="27" spans="1:6" x14ac:dyDescent="0.35">
      <c r="A27" s="16">
        <v>40000</v>
      </c>
      <c r="B27" s="17">
        <f>INDEX(_xll.TestScript($B$2,$B$3+B$20,$B$4+B$19,$B$5,$A$9:$A$15,$B$9:$B$15,$A27,$A27,B$17,B$18),B$21,2)</f>
        <v>90.241188158803681</v>
      </c>
      <c r="C27" s="17">
        <f>INDEX(_xll.TestScript($B$2,$B$3+C$20,$B$4+C$19,$B$5,$A$9:$A$15,$B$9:$B$15,$A27,$A27,C$17,C$18),C$21,2)</f>
        <v>90.239449743033461</v>
      </c>
      <c r="D27" s="17">
        <f t="shared" si="0"/>
        <v>-17.384157702196035</v>
      </c>
      <c r="E27" s="17">
        <f>Sharp!B27</f>
        <v>90.220750000007257</v>
      </c>
      <c r="F27" s="17">
        <f>Sharp!D27</f>
        <v>-17.500000000012506</v>
      </c>
    </row>
    <row r="28" spans="1:6" x14ac:dyDescent="0.35">
      <c r="A28" s="16">
        <v>50000</v>
      </c>
      <c r="B28" s="17">
        <f>INDEX(_xll.TestScript($B$2,$B$3+B$20,$B$4+B$19,$B$5,$A$9:$A$15,$B$9:$B$15,$A28,$A28,B$17,B$18),B$21,2)</f>
        <v>90.157752900788793</v>
      </c>
      <c r="C28" s="17">
        <f>INDEX(_xll.TestScript($B$2,$B$3+C$20,$B$4+C$19,$B$5,$A$9:$A$15,$B$9:$B$15,$A28,$A28,C$17,C$18),C$21,2)</f>
        <v>90.15606072503742</v>
      </c>
      <c r="D28" s="17">
        <f t="shared" si="0"/>
        <v>-16.921757513728153</v>
      </c>
      <c r="E28" s="17">
        <f>Sharp!B28</f>
        <v>90.160200000033896</v>
      </c>
      <c r="F28" s="17">
        <f>Sharp!D28</f>
        <v>-24.000000000086175</v>
      </c>
    </row>
    <row r="29" spans="1:6" x14ac:dyDescent="0.35">
      <c r="A29" s="16">
        <v>60000</v>
      </c>
      <c r="B29" s="17">
        <f>INDEX(_xll.TestScript($B$2,$B$3+B$20,$B$4+B$19,$B$5,$A$9:$A$15,$B$9:$B$15,$A29,$A29,B$17,B$18),B$21,2)</f>
        <v>90.349306513651001</v>
      </c>
      <c r="C29" s="17">
        <f>INDEX(_xll.TestScript($B$2,$B$3+C$20,$B$4+C$19,$B$5,$A$9:$A$15,$B$9:$B$15,$A29,$A29,C$17,C$18),C$21,2)</f>
        <v>90.347571818993956</v>
      </c>
      <c r="D29" s="17">
        <f t="shared" si="0"/>
        <v>-17.346946570455657</v>
      </c>
      <c r="E29" s="17">
        <f>Sharp!B29</f>
        <v>90.35516666665481</v>
      </c>
      <c r="F29" s="17">
        <f>Sharp!D29</f>
        <v>0</v>
      </c>
    </row>
    <row r="30" spans="1:6" x14ac:dyDescent="0.35">
      <c r="A30" s="16">
        <v>70000</v>
      </c>
      <c r="B30" s="17">
        <f>INDEX(_xll.TestScript($B$2,$B$3+B$20,$B$4+B$19,$B$5,$A$9:$A$15,$B$9:$B$15,$A30,$A30,B$17,B$18),B$21,2)</f>
        <v>90.34693707651148</v>
      </c>
      <c r="C30" s="17">
        <f>INDEX(_xll.TestScript($B$2,$B$3+C$20,$B$4+C$19,$B$5,$A$9:$A$15,$B$9:$B$15,$A30,$A30,C$17,C$18),C$21,2)</f>
        <v>90.345180912550106</v>
      </c>
      <c r="D30" s="17">
        <f t="shared" si="0"/>
        <v>-17.561639613745683</v>
      </c>
      <c r="E30" s="17">
        <f>Sharp!B30</f>
        <v>90.347142857107599</v>
      </c>
      <c r="F30" s="17">
        <f>Sharp!D30</f>
        <v>0</v>
      </c>
    </row>
    <row r="31" spans="1:6" x14ac:dyDescent="0.35">
      <c r="A31" s="16">
        <v>80000</v>
      </c>
      <c r="B31" s="17">
        <f>INDEX(_xll.TestScript($B$2,$B$3+B$20,$B$4+B$19,$B$5,$A$9:$A$15,$B$9:$B$15,$A31,$A31,B$17,B$18),B$21,2)</f>
        <v>90.434704296462741</v>
      </c>
      <c r="C31" s="17">
        <f>INDEX(_xll.TestScript($B$2,$B$3+C$20,$B$4+C$19,$B$5,$A$9:$A$15,$B$9:$B$15,$A31,$A31,C$17,C$18),C$21,2)</f>
        <v>90.432859900234888</v>
      </c>
      <c r="D31" s="17">
        <f t="shared" si="0"/>
        <v>-18.44396227852485</v>
      </c>
      <c r="E31" s="17">
        <f>Sharp!B31</f>
        <v>90.409624999958481</v>
      </c>
      <c r="F31" s="17">
        <f>Sharp!D31</f>
        <v>-17.500000000012506</v>
      </c>
    </row>
    <row r="32" spans="1:6" x14ac:dyDescent="0.35">
      <c r="A32" s="16">
        <v>90000</v>
      </c>
      <c r="B32" s="17">
        <f>INDEX(_xll.TestScript($B$2,$B$3+B$20,$B$4+B$19,$B$5,$A$9:$A$15,$B$9:$B$15,$A32,$A32,B$17,B$18),B$21,2)</f>
        <v>90.361812290029775</v>
      </c>
      <c r="C32" s="17">
        <f>INDEX(_xll.TestScript($B$2,$B$3+C$20,$B$4+C$19,$B$5,$A$9:$A$15,$B$9:$B$15,$A32,$A32,C$17,C$18),C$21,2)</f>
        <v>90.360059505071703</v>
      </c>
      <c r="D32" s="17">
        <f t="shared" si="0"/>
        <v>-17.527849580716293</v>
      </c>
      <c r="E32" s="17">
        <f>Sharp!B32</f>
        <v>90.3547777778181</v>
      </c>
      <c r="F32" s="17">
        <f>Sharp!D32</f>
        <v>-15.55555555569299</v>
      </c>
    </row>
    <row r="33" spans="1:6" x14ac:dyDescent="0.35">
      <c r="A33" s="16">
        <v>100000</v>
      </c>
      <c r="B33" s="17">
        <f>INDEX(_xll.TestScript($B$2,$B$3+B$20,$B$4+B$19,$B$5,$A$9:$A$15,$B$9:$B$15,$A33,$A33,B$17,B$18),B$21,2)</f>
        <v>90.23647483792368</v>
      </c>
      <c r="C33" s="17">
        <f>INDEX(_xll.TestScript($B$2,$B$3+C$20,$B$4+C$19,$B$5,$A$9:$A$15,$B$9:$B$15,$A33,$A33,C$17,C$18),C$21,2)</f>
        <v>90.234669624976732</v>
      </c>
      <c r="D33" s="17">
        <f t="shared" si="0"/>
        <v>-18.052129469481315</v>
      </c>
      <c r="E33" s="17">
        <f>Sharp!B33</f>
        <v>90.23189999997507</v>
      </c>
      <c r="F33" s="17">
        <f>Sharp!D33</f>
        <v>-19.99999999981128</v>
      </c>
    </row>
  </sheetData>
  <mergeCells count="2">
    <mergeCell ref="A1:B1"/>
    <mergeCell ref="A8:I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Scripts</vt:lpstr>
      <vt:lpstr>Sharp</vt:lpstr>
      <vt:lpstr>Fuzzy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Savine</dc:creator>
  <cp:lastModifiedBy>Francis Duffy</cp:lastModifiedBy>
  <dcterms:created xsi:type="dcterms:W3CDTF">2015-05-02T02:56:03Z</dcterms:created>
  <dcterms:modified xsi:type="dcterms:W3CDTF">2026-01-16T17:23:27Z</dcterms:modified>
</cp:coreProperties>
</file>