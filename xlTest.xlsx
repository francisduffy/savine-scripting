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root\dev\savine_scripting\"/>
    </mc:Choice>
  </mc:AlternateContent>
  <xr:revisionPtr revIDLastSave="0" documentId="13_ncr:1_{8E34F643-E9EC-4DE7-A2F8-89660502CDCE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cripts" sheetId="5" r:id="rId1"/>
    <sheet name="Sharp" sheetId="1" r:id="rId2"/>
    <sheet name="Fuzzy" sheetId="4" r:id="rId3"/>
  </sheet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0" i="5" l="1" a="1"/>
  <c r="A30" i="5" l="1"/>
  <c r="B30" i="5"/>
  <c r="A31" i="5"/>
  <c r="B31" i="5"/>
  <c r="A32" i="5"/>
  <c r="B32" i="5"/>
  <c r="A33" i="5"/>
  <c r="B33" i="5"/>
  <c r="D18" i="4"/>
  <c r="D18" i="1"/>
  <c r="D29" i="4"/>
  <c r="D28" i="4"/>
  <c r="D26" i="4"/>
  <c r="D25" i="1"/>
  <c r="D32" i="1"/>
  <c r="D33" i="1"/>
  <c r="D31" i="1"/>
  <c r="D29" i="1"/>
  <c r="D30" i="1"/>
  <c r="D28" i="1"/>
  <c r="D27" i="1"/>
  <c r="C33" i="1"/>
  <c r="C33" i="4"/>
  <c r="D24" i="4"/>
  <c r="D27" i="4"/>
  <c r="D25" i="4"/>
  <c r="D33" i="4"/>
  <c r="D26" i="1"/>
  <c r="D24" i="1"/>
  <c r="C24" i="4"/>
  <c r="C25" i="4"/>
  <c r="C26" i="4"/>
  <c r="C27" i="4"/>
  <c r="C28" i="4"/>
  <c r="C29" i="4"/>
  <c r="C30" i="4"/>
  <c r="C31" i="4"/>
  <c r="C32" i="4"/>
  <c r="D32" i="4"/>
  <c r="D31" i="4"/>
  <c r="D30" i="4"/>
  <c r="F33" i="4" l="1"/>
  <c r="E33" i="4"/>
  <c r="E32" i="4"/>
  <c r="E31" i="4"/>
  <c r="E30" i="4"/>
  <c r="E29" i="4"/>
  <c r="E28" i="4"/>
  <c r="E27" i="4"/>
  <c r="E26" i="4"/>
  <c r="E25" i="4"/>
  <c r="E24" i="4"/>
  <c r="C27" i="1"/>
  <c r="F27" i="4" s="1"/>
  <c r="C32" i="1"/>
  <c r="F32" i="4" s="1"/>
  <c r="C30" i="1"/>
  <c r="F30" i="4" s="1"/>
  <c r="C31" i="1"/>
  <c r="F31" i="4" s="1"/>
  <c r="C24" i="1"/>
  <c r="F24" i="4" s="1"/>
  <c r="C25" i="1"/>
  <c r="F25" i="4" s="1"/>
  <c r="C29" i="1"/>
  <c r="F29" i="4" s="1"/>
  <c r="C26" i="1"/>
  <c r="F26" i="4" s="1"/>
  <c r="C28" i="1"/>
  <c r="F28" i="4" s="1"/>
  <c r="E33" i="1" l="1"/>
  <c r="G33" i="4" s="1"/>
  <c r="E32" i="1"/>
  <c r="G32" i="4" s="1"/>
  <c r="E31" i="1"/>
  <c r="G31" i="4" s="1"/>
  <c r="E30" i="1"/>
  <c r="G30" i="4" s="1"/>
  <c r="E29" i="1"/>
  <c r="G29" i="4" s="1"/>
  <c r="E28" i="1"/>
  <c r="G28" i="4" s="1"/>
  <c r="E27" i="1"/>
  <c r="G27" i="4" s="1"/>
  <c r="E26" i="1"/>
  <c r="G26" i="4" s="1"/>
  <c r="E25" i="1"/>
  <c r="G25" i="4" s="1"/>
  <c r="E24" i="1"/>
  <c r="G24" i="4" s="1"/>
</calcChain>
</file>

<file path=xl/sharedStrings.xml><?xml version="1.0" encoding="utf-8"?>
<sst xmlns="http://schemas.openxmlformats.org/spreadsheetml/2006/main" count="78" uniqueCount="39">
  <si>
    <t>Today</t>
  </si>
  <si>
    <t>Spot</t>
  </si>
  <si>
    <t>Vol</t>
  </si>
  <si>
    <t>Rate</t>
  </si>
  <si>
    <t>Script</t>
  </si>
  <si>
    <t>alive = 1</t>
  </si>
  <si>
    <t>if spot() &gt; 100 then autocall pays 110 alive = 0 endIf</t>
  </si>
  <si>
    <t>if spot() &gt; 100 then autocall pays alive * 120 alive = 0 endIf</t>
  </si>
  <si>
    <t>Sims</t>
  </si>
  <si>
    <t>Fuzzy Logic?</t>
  </si>
  <si>
    <t>FL Eps</t>
  </si>
  <si>
    <t>Vol shift</t>
  </si>
  <si>
    <t>Spot shift</t>
  </si>
  <si>
    <t>if spot() &gt; 100 then autocall pays alive * 130 else autocall pays alive * 50 endIf</t>
  </si>
  <si>
    <t>Var</t>
  </si>
  <si>
    <t>Vega</t>
  </si>
  <si>
    <t>Old Price</t>
  </si>
  <si>
    <t>Old Vega</t>
  </si>
  <si>
    <t>Model</t>
  </si>
  <si>
    <t>Simulations</t>
  </si>
  <si>
    <t>Seed</t>
  </si>
  <si>
    <t>Num Sim</t>
  </si>
  <si>
    <t>Value</t>
  </si>
  <si>
    <t>VAR_1 = 7 - 3 - 4</t>
  </si>
  <si>
    <t>IF VAR_1 = 0 THEN VAR_2 = 7 - 3 - 4 ENDIF</t>
  </si>
  <si>
    <t>VAR_3 = 2 ^ 3 ^ 4</t>
  </si>
  <si>
    <t>VAR_4 = -2 ^ 2</t>
  </si>
  <si>
    <t>Example scripts below</t>
  </si>
  <si>
    <t>ALIVE = 1</t>
  </si>
  <si>
    <t>IF SPOT() &gt; 110 THEN ALIVE = 0 ENDIF</t>
  </si>
  <si>
    <t>RKO PAYS ALIVE * MAX( SPOT() - 100, 0)</t>
  </si>
  <si>
    <t>IF SPOT() &gt; 100 THEN AUTOCALL PAYS 110 ALIVE = 0 ENDIF</t>
  </si>
  <si>
    <t>IF SPOT() &gt; 100 THEN AUTOCALL PAYS ALIVE * 120 ALIVE = 0 ENDIF</t>
  </si>
  <si>
    <t>IF SPOT() &gt; 100 THEN AUTOCALL PAYS ALIVE * 130 ELSE AUTOCALL PAYS ALIVE * 50 ENDIF</t>
  </si>
  <si>
    <t>OPT PAYS MAX( 0, SPOT() - 100 )</t>
  </si>
  <si>
    <t>Call, strike = 100</t>
  </si>
  <si>
    <t>Monthly monitored barrier @ 110, up and out call, strike = 100</t>
  </si>
  <si>
    <t>Autocallable</t>
  </si>
  <si>
    <t>Just testing expressions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</si>
</sst>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2" borderId="1" applyNumberFormat="0" applyAlignment="0" applyProtection="0"/>
    <xf numFmtId="0" fontId="4" fillId="3" borderId="0" applyNumberFormat="0" applyBorder="0" applyAlignment="0" applyProtection="0"/>
    <xf numFmtId="0" fontId="5" fillId="4" borderId="0" applyNumberFormat="0" applyBorder="0" applyAlignment="0" applyProtection="0"/>
  </cellStyleXfs>
  <cellXfs count="24">
    <xf numFmtId="0" fontId="0" fillId="0" borderId="0" xfId="0"/>
    <xf numFmtId="15" fontId="0" fillId="0" borderId="0" xfId="0" applyNumberFormat="1"/>
    <xf numFmtId="10" fontId="0" fillId="0" borderId="0" xfId="2" applyNumberFormat="1" applyFont="1"/>
    <xf numFmtId="164" fontId="0" fillId="0" borderId="0" xfId="1" applyFont="1"/>
    <xf numFmtId="165" fontId="0" fillId="0" borderId="0" xfId="1" applyNumberFormat="1" applyFont="1"/>
    <xf numFmtId="164" fontId="0" fillId="0" borderId="0" xfId="1" applyFont="1" applyAlignment="1">
      <alignment horizontal="center"/>
    </xf>
    <xf numFmtId="10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2" borderId="1" xfId="3"/>
    <xf numFmtId="0" fontId="0" fillId="0" borderId="0" xfId="0" applyAlignment="1">
      <alignment horizontal="center"/>
    </xf>
    <xf numFmtId="0" fontId="2" fillId="5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15" fontId="0" fillId="0" borderId="0" xfId="0" applyNumberFormat="1" applyAlignment="1">
      <alignment vertical="center"/>
    </xf>
    <xf numFmtId="10" fontId="0" fillId="0" borderId="0" xfId="2" applyNumberFormat="1" applyFont="1" applyAlignment="1">
      <alignment vertical="center"/>
    </xf>
    <xf numFmtId="15" fontId="5" fillId="4" borderId="0" xfId="5" applyNumberFormat="1" applyAlignment="1">
      <alignment horizontal="left" vertical="center"/>
    </xf>
    <xf numFmtId="0" fontId="4" fillId="3" borderId="0" xfId="4" applyAlignment="1">
      <alignment vertical="center"/>
    </xf>
    <xf numFmtId="0" fontId="0" fillId="0" borderId="0" xfId="1" applyNumberFormat="1" applyFont="1" applyAlignment="1">
      <alignment vertical="center"/>
    </xf>
    <xf numFmtId="15" fontId="5" fillId="4" borderId="0" xfId="5" applyNumberFormat="1" applyAlignment="1">
      <alignment vertical="center"/>
    </xf>
    <xf numFmtId="0" fontId="0" fillId="0" borderId="0" xfId="0" applyNumberFormat="1" applyAlignment="1">
      <alignment vertical="center"/>
    </xf>
    <xf numFmtId="0" fontId="0" fillId="0" borderId="0" xfId="1" applyNumberFormat="1" applyFont="1" applyAlignment="1">
      <alignment horizontal="left" vertical="center"/>
    </xf>
    <xf numFmtId="0" fontId="0" fillId="0" borderId="0" xfId="1" applyNumberFormat="1" applyFont="1" applyAlignment="1">
      <alignment horizontal="right" vertic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left" vertical="center"/>
    </xf>
  </cellXfs>
  <cellStyles count="6">
    <cellStyle name="Comma" xfId="1" builtinId="3"/>
    <cellStyle name="Good" xfId="4" builtinId="26"/>
    <cellStyle name="Input" xfId="3" builtinId="20"/>
    <cellStyle name="Neutral" xfId="5" builtinId="28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Price</c:v>
          </c:tx>
          <c:marker>
            <c:symbol val="none"/>
          </c:marker>
          <c:xVal>
            <c:numRef>
              <c:f>Sharp!$B$24:$B$33</c:f>
              <c:numCache>
                <c:formatCode>_(* #,##0_);_(* \(#,##0\);_(* "-"??_);_(@_)</c:formatCode>
                <c:ptCount val="10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  <c:pt idx="6">
                  <c:v>70000</c:v>
                </c:pt>
                <c:pt idx="7">
                  <c:v>80000</c:v>
                </c:pt>
                <c:pt idx="8">
                  <c:v>90000</c:v>
                </c:pt>
                <c:pt idx="9">
                  <c:v>100000</c:v>
                </c:pt>
              </c:numCache>
            </c:numRef>
          </c:xVal>
          <c:yVal>
            <c:numRef>
              <c:f>Sharp!$C$24:$C$33</c:f>
              <c:numCache>
                <c:formatCode>_(* #,##0.00_);_(* \(#,##0.00\);_(* "-"??_);_(@_)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90.23189999997507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7F-43D5-895D-2DD87B900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73728"/>
        <c:axId val="199675264"/>
      </c:scatterChart>
      <c:scatterChart>
        <c:scatterStyle val="lineMarker"/>
        <c:varyColors val="0"/>
        <c:ser>
          <c:idx val="1"/>
          <c:order val="1"/>
          <c:tx>
            <c:v>Vega</c:v>
          </c:tx>
          <c:marker>
            <c:symbol val="none"/>
          </c:marker>
          <c:xVal>
            <c:numRef>
              <c:f>Sharp!$B$24:$B$33</c:f>
              <c:numCache>
                <c:formatCode>_(* #,##0_);_(* \(#,##0\);_(* "-"??_);_(@_)</c:formatCode>
                <c:ptCount val="10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  <c:pt idx="6">
                  <c:v>70000</c:v>
                </c:pt>
                <c:pt idx="7">
                  <c:v>80000</c:v>
                </c:pt>
                <c:pt idx="8">
                  <c:v>90000</c:v>
                </c:pt>
                <c:pt idx="9">
                  <c:v>100000</c:v>
                </c:pt>
              </c:numCache>
            </c:numRef>
          </c:xVal>
          <c:yVal>
            <c:numRef>
              <c:f>Sharp!$E$24:$E$33</c:f>
              <c:numCache>
                <c:formatCode>_(* #,##0.00_);_(* \(#,##0.00\);_(* "-"??_);_(@_)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7F-43D5-895D-2DD87B900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682688"/>
        <c:axId val="199681152"/>
      </c:scatterChart>
      <c:valAx>
        <c:axId val="199673728"/>
        <c:scaling>
          <c:orientation val="minMax"/>
        </c:scaling>
        <c:delete val="0"/>
        <c:axPos val="b"/>
        <c:numFmt formatCode="_(* #,##0_);_(* \(#,##0\);_(* &quot;-&quot;??_);_(@_)" sourceLinked="1"/>
        <c:majorTickMark val="out"/>
        <c:minorTickMark val="none"/>
        <c:tickLblPos val="low"/>
        <c:crossAx val="199675264"/>
        <c:crosses val="autoZero"/>
        <c:crossBetween val="midCat"/>
      </c:valAx>
      <c:valAx>
        <c:axId val="199675264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numFmt formatCode="_(* #,##0.00_);_(* \(#,##0.00\);_(* &quot;-&quot;??_);_(@_)" sourceLinked="1"/>
        <c:majorTickMark val="out"/>
        <c:minorTickMark val="none"/>
        <c:tickLblPos val="nextTo"/>
        <c:crossAx val="199673728"/>
        <c:crosses val="autoZero"/>
        <c:crossBetween val="midCat"/>
      </c:valAx>
      <c:valAx>
        <c:axId val="199681152"/>
        <c:scaling>
          <c:orientation val="minMax"/>
        </c:scaling>
        <c:delete val="0"/>
        <c:axPos val="r"/>
        <c:numFmt formatCode="_(* #,##0.00_);_(* \(#,##0.00\);_(* &quot;-&quot;??_);_(@_)" sourceLinked="1"/>
        <c:majorTickMark val="out"/>
        <c:minorTickMark val="none"/>
        <c:tickLblPos val="nextTo"/>
        <c:crossAx val="199682688"/>
        <c:crosses val="max"/>
        <c:crossBetween val="midCat"/>
      </c:valAx>
      <c:valAx>
        <c:axId val="199682688"/>
        <c:scaling>
          <c:orientation val="minMax"/>
        </c:scaling>
        <c:delete val="1"/>
        <c:axPos val="b"/>
        <c:numFmt formatCode="_(* #,##0_);_(* \(#,##0\);_(* &quot;-&quot;??_);_(@_)" sourceLinked="1"/>
        <c:majorTickMark val="out"/>
        <c:minorTickMark val="none"/>
        <c:tickLblPos val="none"/>
        <c:crossAx val="199681152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Price</c:v>
          </c:tx>
          <c:marker>
            <c:symbol val="none"/>
          </c:marker>
          <c:xVal>
            <c:numRef>
              <c:f>Fuzzy!$B$24:$B$33</c:f>
              <c:numCache>
                <c:formatCode>_(* #,##0_);_(* \(#,##0\);_(* "-"??_);_(@_)</c:formatCode>
                <c:ptCount val="10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  <c:pt idx="6">
                  <c:v>70000</c:v>
                </c:pt>
                <c:pt idx="7">
                  <c:v>80000</c:v>
                </c:pt>
                <c:pt idx="8">
                  <c:v>90000</c:v>
                </c:pt>
                <c:pt idx="9">
                  <c:v>100000</c:v>
                </c:pt>
              </c:numCache>
            </c:numRef>
          </c:xVal>
          <c:yVal>
            <c:numRef>
              <c:f>Fuzzy!$C$24:$C$33</c:f>
              <c:numCache>
                <c:formatCode>_(* #,##0.00_);_(* \(#,##0.00\);_(* "-"??_);_(@_)</c:formatCode>
                <c:ptCount val="10"/>
                <c:pt idx="0">
                  <c:v>90.223999999997403</c:v>
                </c:pt>
                <c:pt idx="1">
                  <c:v>90.457999999982079</c:v>
                </c:pt>
                <c:pt idx="2">
                  <c:v>90.362999999973212</c:v>
                </c:pt>
                <c:pt idx="3">
                  <c:v>90.220750000007257</c:v>
                </c:pt>
                <c:pt idx="4">
                  <c:v>90.160200000033896</c:v>
                </c:pt>
                <c:pt idx="5">
                  <c:v>90.35516666665481</c:v>
                </c:pt>
                <c:pt idx="6">
                  <c:v>90.347142857107599</c:v>
                </c:pt>
                <c:pt idx="7">
                  <c:v>90.409624999958481</c:v>
                </c:pt>
                <c:pt idx="8">
                  <c:v>90.3547777778181</c:v>
                </c:pt>
                <c:pt idx="9">
                  <c:v>90.23189999997507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73-4ADE-AB62-1C2ABDB5F84D}"/>
            </c:ext>
          </c:extLst>
        </c:ser>
        <c:ser>
          <c:idx val="2"/>
          <c:order val="2"/>
          <c:tx>
            <c:v>Old Price</c:v>
          </c:tx>
          <c:marker>
            <c:symbol val="none"/>
          </c:marker>
          <c:xVal>
            <c:numRef>
              <c:f>Fuzzy!$B$24:$B$33</c:f>
              <c:numCache>
                <c:formatCode>_(* #,##0_);_(* \(#,##0\);_(* "-"??_);_(@_)</c:formatCode>
                <c:ptCount val="10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  <c:pt idx="6">
                  <c:v>70000</c:v>
                </c:pt>
                <c:pt idx="7">
                  <c:v>80000</c:v>
                </c:pt>
                <c:pt idx="8">
                  <c:v>90000</c:v>
                </c:pt>
                <c:pt idx="9">
                  <c:v>100000</c:v>
                </c:pt>
              </c:numCache>
            </c:numRef>
          </c:xVal>
          <c:yVal>
            <c:numRef>
              <c:f>Fuzzy!$F$24:$F$33</c:f>
              <c:numCache>
                <c:formatCode>_(* #,##0.00_);_(* \(#,##0.00\);_(* "-"??_);_(@_)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90.23189999997507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73-4ADE-AB62-1C2ABDB5F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34880"/>
        <c:axId val="200236416"/>
      </c:scatterChart>
      <c:scatterChart>
        <c:scatterStyle val="lineMarker"/>
        <c:varyColors val="0"/>
        <c:ser>
          <c:idx val="1"/>
          <c:order val="1"/>
          <c:tx>
            <c:v>Vega</c:v>
          </c:tx>
          <c:marker>
            <c:symbol val="none"/>
          </c:marker>
          <c:xVal>
            <c:numRef>
              <c:f>Fuzzy!$B$24:$B$33</c:f>
              <c:numCache>
                <c:formatCode>_(* #,##0_);_(* \(#,##0\);_(* "-"??_);_(@_)</c:formatCode>
                <c:ptCount val="10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  <c:pt idx="6">
                  <c:v>70000</c:v>
                </c:pt>
                <c:pt idx="7">
                  <c:v>80000</c:v>
                </c:pt>
                <c:pt idx="8">
                  <c:v>90000</c:v>
                </c:pt>
                <c:pt idx="9">
                  <c:v>100000</c:v>
                </c:pt>
              </c:numCache>
            </c:numRef>
          </c:xVal>
          <c:yVal>
            <c:numRef>
              <c:f>Fuzzy!$E$24:$E$33</c:f>
              <c:numCache>
                <c:formatCode>_(* #,##0.00_);_(* \(#,##0.00\);_(* "-"??_);_(@_)</c:formatCode>
                <c:ptCount val="10"/>
                <c:pt idx="0">
                  <c:v>0</c:v>
                </c:pt>
                <c:pt idx="1">
                  <c:v>5.0000000000238742</c:v>
                </c:pt>
                <c:pt idx="2">
                  <c:v>-9.9999999999056399</c:v>
                </c:pt>
                <c:pt idx="3">
                  <c:v>-17.500000000012506</c:v>
                </c:pt>
                <c:pt idx="4">
                  <c:v>-24.000000000086175</c:v>
                </c:pt>
                <c:pt idx="5">
                  <c:v>0</c:v>
                </c:pt>
                <c:pt idx="6">
                  <c:v>0</c:v>
                </c:pt>
                <c:pt idx="7">
                  <c:v>-17.500000000012506</c:v>
                </c:pt>
                <c:pt idx="8">
                  <c:v>-15.55555555569299</c:v>
                </c:pt>
                <c:pt idx="9">
                  <c:v>-19.99999999981128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73-4ADE-AB62-1C2ABDB5F84D}"/>
            </c:ext>
          </c:extLst>
        </c:ser>
        <c:ser>
          <c:idx val="3"/>
          <c:order val="3"/>
          <c:tx>
            <c:v>Old Vega</c:v>
          </c:tx>
          <c:marker>
            <c:symbol val="none"/>
          </c:marker>
          <c:xVal>
            <c:numRef>
              <c:f>Fuzzy!$B$24:$B$33</c:f>
              <c:numCache>
                <c:formatCode>_(* #,##0_);_(* \(#,##0\);_(* "-"??_);_(@_)</c:formatCode>
                <c:ptCount val="10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  <c:pt idx="5">
                  <c:v>60000</c:v>
                </c:pt>
                <c:pt idx="6">
                  <c:v>70000</c:v>
                </c:pt>
                <c:pt idx="7">
                  <c:v>80000</c:v>
                </c:pt>
                <c:pt idx="8">
                  <c:v>90000</c:v>
                </c:pt>
                <c:pt idx="9">
                  <c:v>100000</c:v>
                </c:pt>
              </c:numCache>
            </c:numRef>
          </c:xVal>
          <c:yVal>
            <c:numRef>
              <c:f>Fuzzy!$G$24:$G$33</c:f>
              <c:numCache>
                <c:formatCode>_(* #,##0.00_);_(* \(#,##0.00\);_(* "-"??_);_(@_)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B73-4ADE-AB62-1C2ABDB5F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43840"/>
        <c:axId val="200242304"/>
      </c:scatterChart>
      <c:valAx>
        <c:axId val="200234880"/>
        <c:scaling>
          <c:orientation val="minMax"/>
        </c:scaling>
        <c:delete val="0"/>
        <c:axPos val="b"/>
        <c:numFmt formatCode="_(* #,##0_);_(* \(#,##0\);_(* &quot;-&quot;??_);_(@_)" sourceLinked="1"/>
        <c:majorTickMark val="out"/>
        <c:minorTickMark val="none"/>
        <c:tickLblPos val="low"/>
        <c:crossAx val="200236416"/>
        <c:crosses val="autoZero"/>
        <c:crossBetween val="midCat"/>
      </c:valAx>
      <c:valAx>
        <c:axId val="200236416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numFmt formatCode="_(* #,##0.00_);_(* \(#,##0.00\);_(* &quot;-&quot;??_);_(@_)" sourceLinked="1"/>
        <c:majorTickMark val="out"/>
        <c:minorTickMark val="none"/>
        <c:tickLblPos val="nextTo"/>
        <c:crossAx val="200234880"/>
        <c:crosses val="autoZero"/>
        <c:crossBetween val="midCat"/>
      </c:valAx>
      <c:valAx>
        <c:axId val="200242304"/>
        <c:scaling>
          <c:orientation val="minMax"/>
        </c:scaling>
        <c:delete val="0"/>
        <c:axPos val="r"/>
        <c:numFmt formatCode="_(* #,##0.00_);_(* \(#,##0.00\);_(* &quot;-&quot;??_);_(@_)" sourceLinked="1"/>
        <c:majorTickMark val="out"/>
        <c:minorTickMark val="none"/>
        <c:tickLblPos val="nextTo"/>
        <c:crossAx val="200243840"/>
        <c:crosses val="max"/>
        <c:crossBetween val="midCat"/>
      </c:valAx>
      <c:valAx>
        <c:axId val="200243840"/>
        <c:scaling>
          <c:orientation val="minMax"/>
        </c:scaling>
        <c:delete val="1"/>
        <c:axPos val="b"/>
        <c:numFmt formatCode="_(* #,##0_);_(* \(#,##0\);_(* &quot;-&quot;??_);_(@_)" sourceLinked="1"/>
        <c:majorTickMark val="out"/>
        <c:minorTickMark val="none"/>
        <c:tickLblPos val="none"/>
        <c:crossAx val="200242304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17</xdr:row>
      <xdr:rowOff>0</xdr:rowOff>
    </xdr:from>
    <xdr:to>
      <xdr:col>15</xdr:col>
      <xdr:colOff>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17</xdr:row>
      <xdr:rowOff>0</xdr:rowOff>
    </xdr:from>
    <xdr:to>
      <xdr:col>15</xdr:col>
      <xdr:colOff>0</xdr:colOff>
      <xdr:row>33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0"/>
  <sheetViews>
    <sheetView tabSelected="1" workbookViewId="0">
      <selection sqref="A1:B1"/>
    </sheetView>
  </sheetViews>
  <sheetFormatPr defaultRowHeight="14.5" x14ac:dyDescent="0.35"/>
  <cols>
    <col min="1" max="1" width="10.1796875" style="12" bestFit="1" customWidth="1"/>
    <col min="2" max="2" width="11.54296875" style="12" bestFit="1" customWidth="1"/>
    <col min="3" max="9" width="8.7265625" style="12"/>
    <col min="10" max="10" width="5.7265625" style="12" customWidth="1"/>
    <col min="11" max="11" width="11.08984375" style="22" customWidth="1"/>
    <col min="12" max="18" width="8.7265625" style="12"/>
    <col min="19" max="19" width="15" style="12" customWidth="1"/>
    <col min="20" max="16384" width="8.7265625" style="12"/>
  </cols>
  <sheetData>
    <row r="1" spans="1:19" x14ac:dyDescent="0.35">
      <c r="A1" s="11" t="s">
        <v>18</v>
      </c>
      <c r="B1" s="11"/>
    </row>
    <row r="2" spans="1:19" x14ac:dyDescent="0.35">
      <c r="A2" s="12" t="s">
        <v>0</v>
      </c>
      <c r="B2" s="13">
        <v>42104</v>
      </c>
    </row>
    <row r="3" spans="1:19" x14ac:dyDescent="0.35">
      <c r="A3" s="12" t="s">
        <v>1</v>
      </c>
      <c r="B3" s="12">
        <v>100</v>
      </c>
    </row>
    <row r="4" spans="1:19" x14ac:dyDescent="0.35">
      <c r="A4" s="12" t="s">
        <v>2</v>
      </c>
      <c r="B4" s="14">
        <v>0.2</v>
      </c>
    </row>
    <row r="5" spans="1:19" x14ac:dyDescent="0.35">
      <c r="A5" s="12" t="s">
        <v>3</v>
      </c>
      <c r="B5" s="14">
        <v>0</v>
      </c>
    </row>
    <row r="7" spans="1:19" x14ac:dyDescent="0.35">
      <c r="A7" s="11" t="s">
        <v>19</v>
      </c>
      <c r="B7" s="11"/>
    </row>
    <row r="8" spans="1:19" x14ac:dyDescent="0.35">
      <c r="A8" s="12" t="s">
        <v>20</v>
      </c>
      <c r="B8" s="19">
        <v>0</v>
      </c>
    </row>
    <row r="9" spans="1:19" x14ac:dyDescent="0.35">
      <c r="A9" s="12" t="s">
        <v>21</v>
      </c>
      <c r="B9" s="17">
        <v>10</v>
      </c>
      <c r="K9" s="23" t="s">
        <v>27</v>
      </c>
    </row>
    <row r="11" spans="1:19" x14ac:dyDescent="0.35">
      <c r="A11" s="11" t="s">
        <v>4</v>
      </c>
      <c r="B11" s="11"/>
      <c r="C11" s="11"/>
      <c r="D11" s="11"/>
      <c r="E11" s="11"/>
      <c r="F11" s="11"/>
      <c r="G11" s="11"/>
      <c r="H11" s="11"/>
      <c r="I11" s="11"/>
      <c r="K11" s="22" t="s">
        <v>35</v>
      </c>
    </row>
    <row r="12" spans="1:19" x14ac:dyDescent="0.35">
      <c r="A12" s="18">
        <v>42104</v>
      </c>
      <c r="B12" s="16" t="s">
        <v>5</v>
      </c>
      <c r="C12" s="16"/>
      <c r="D12" s="16"/>
      <c r="E12" s="16"/>
      <c r="F12" s="16"/>
      <c r="G12" s="16"/>
      <c r="H12" s="16"/>
      <c r="I12" s="16"/>
      <c r="K12" s="15">
        <v>42470</v>
      </c>
      <c r="L12" s="16" t="s">
        <v>34</v>
      </c>
      <c r="M12" s="16"/>
      <c r="N12" s="16"/>
      <c r="O12" s="16"/>
      <c r="P12" s="16"/>
      <c r="Q12" s="16"/>
      <c r="R12" s="16"/>
      <c r="S12" s="16"/>
    </row>
    <row r="13" spans="1:19" x14ac:dyDescent="0.35">
      <c r="A13" s="18">
        <v>42470</v>
      </c>
      <c r="B13" s="16" t="s">
        <v>6</v>
      </c>
      <c r="C13" s="16"/>
      <c r="D13" s="16"/>
      <c r="E13" s="16"/>
      <c r="F13" s="16"/>
      <c r="G13" s="16"/>
      <c r="H13" s="16"/>
      <c r="I13" s="16"/>
    </row>
    <row r="14" spans="1:19" x14ac:dyDescent="0.35">
      <c r="A14" s="18">
        <v>42835</v>
      </c>
      <c r="B14" s="16" t="s">
        <v>7</v>
      </c>
      <c r="C14" s="16"/>
      <c r="D14" s="16"/>
      <c r="E14" s="16"/>
      <c r="F14" s="16"/>
      <c r="G14" s="16"/>
      <c r="H14" s="16"/>
      <c r="I14" s="16"/>
      <c r="K14" s="22" t="s">
        <v>36</v>
      </c>
    </row>
    <row r="15" spans="1:19" x14ac:dyDescent="0.35">
      <c r="A15" s="18">
        <v>43200</v>
      </c>
      <c r="B15" s="16" t="s">
        <v>13</v>
      </c>
      <c r="C15" s="16"/>
      <c r="D15" s="16"/>
      <c r="E15" s="16"/>
      <c r="F15" s="16"/>
      <c r="G15" s="16"/>
      <c r="H15" s="16"/>
      <c r="I15" s="16"/>
      <c r="K15" s="15">
        <v>42104</v>
      </c>
      <c r="L15" s="16" t="s">
        <v>28</v>
      </c>
      <c r="M15" s="16"/>
      <c r="N15" s="16"/>
      <c r="O15" s="16"/>
      <c r="P15" s="16"/>
      <c r="Q15" s="16"/>
      <c r="R15" s="16"/>
      <c r="S15" s="16"/>
    </row>
    <row r="16" spans="1:19" x14ac:dyDescent="0.35">
      <c r="A16" s="18"/>
      <c r="B16" s="16"/>
      <c r="C16" s="16"/>
      <c r="D16" s="16"/>
      <c r="E16" s="16"/>
      <c r="F16" s="16"/>
      <c r="G16" s="16"/>
      <c r="H16" s="16"/>
      <c r="I16" s="16"/>
      <c r="K16" s="15">
        <v>42134</v>
      </c>
      <c r="L16" s="16" t="s">
        <v>29</v>
      </c>
      <c r="M16" s="16"/>
      <c r="N16" s="16"/>
      <c r="O16" s="16"/>
      <c r="P16" s="16"/>
      <c r="Q16" s="16"/>
      <c r="R16" s="16"/>
      <c r="S16" s="16"/>
    </row>
    <row r="17" spans="1:19" x14ac:dyDescent="0.35">
      <c r="A17" s="18"/>
      <c r="B17" s="16"/>
      <c r="C17" s="16"/>
      <c r="D17" s="16"/>
      <c r="E17" s="16"/>
      <c r="F17" s="16"/>
      <c r="G17" s="16"/>
      <c r="H17" s="16"/>
      <c r="I17" s="16"/>
      <c r="K17" s="15">
        <v>42165</v>
      </c>
      <c r="L17" s="16" t="s">
        <v>29</v>
      </c>
      <c r="M17" s="16"/>
      <c r="N17" s="16"/>
      <c r="O17" s="16"/>
      <c r="P17" s="16"/>
      <c r="Q17" s="16"/>
      <c r="R17" s="16"/>
      <c r="S17" s="16"/>
    </row>
    <row r="18" spans="1:19" x14ac:dyDescent="0.35">
      <c r="A18" s="18"/>
      <c r="B18" s="16"/>
      <c r="C18" s="16"/>
      <c r="D18" s="16"/>
      <c r="E18" s="16"/>
      <c r="F18" s="16"/>
      <c r="G18" s="16"/>
      <c r="H18" s="16"/>
      <c r="I18" s="16"/>
      <c r="K18" s="15">
        <v>42195</v>
      </c>
      <c r="L18" s="16" t="s">
        <v>29</v>
      </c>
      <c r="M18" s="16"/>
      <c r="N18" s="16"/>
      <c r="O18" s="16"/>
      <c r="P18" s="16"/>
      <c r="Q18" s="16"/>
      <c r="R18" s="16"/>
      <c r="S18" s="16"/>
    </row>
    <row r="19" spans="1:19" x14ac:dyDescent="0.35">
      <c r="A19" s="18"/>
      <c r="B19" s="16"/>
      <c r="C19" s="16"/>
      <c r="D19" s="16"/>
      <c r="E19" s="16"/>
      <c r="F19" s="16"/>
      <c r="G19" s="16"/>
      <c r="H19" s="16"/>
      <c r="I19" s="16"/>
      <c r="K19" s="15">
        <v>42226</v>
      </c>
      <c r="L19" s="16" t="s">
        <v>29</v>
      </c>
      <c r="M19" s="16"/>
      <c r="N19" s="16"/>
      <c r="O19" s="16"/>
      <c r="P19" s="16"/>
      <c r="Q19" s="16"/>
      <c r="R19" s="16"/>
      <c r="S19" s="16"/>
    </row>
    <row r="20" spans="1:19" x14ac:dyDescent="0.35">
      <c r="A20" s="18"/>
      <c r="B20" s="16"/>
      <c r="C20" s="16"/>
      <c r="D20" s="16"/>
      <c r="E20" s="16"/>
      <c r="F20" s="16"/>
      <c r="G20" s="16"/>
      <c r="H20" s="16"/>
      <c r="I20" s="16"/>
      <c r="K20" s="15">
        <v>42257</v>
      </c>
      <c r="L20" s="16" t="s">
        <v>29</v>
      </c>
      <c r="M20" s="16"/>
      <c r="N20" s="16"/>
      <c r="O20" s="16"/>
      <c r="P20" s="16"/>
      <c r="Q20" s="16"/>
      <c r="R20" s="16"/>
      <c r="S20" s="16"/>
    </row>
    <row r="21" spans="1:19" x14ac:dyDescent="0.35">
      <c r="A21" s="18"/>
      <c r="B21" s="16"/>
      <c r="C21" s="16"/>
      <c r="D21" s="16"/>
      <c r="E21" s="16"/>
      <c r="F21" s="16"/>
      <c r="G21" s="16"/>
      <c r="H21" s="16"/>
      <c r="I21" s="16"/>
      <c r="K21" s="15">
        <v>42287</v>
      </c>
      <c r="L21" s="16" t="s">
        <v>29</v>
      </c>
      <c r="M21" s="16"/>
      <c r="N21" s="16"/>
      <c r="O21" s="16"/>
      <c r="P21" s="16"/>
      <c r="Q21" s="16"/>
      <c r="R21" s="16"/>
      <c r="S21" s="16"/>
    </row>
    <row r="22" spans="1:19" x14ac:dyDescent="0.35">
      <c r="A22" s="18"/>
      <c r="B22" s="16"/>
      <c r="C22" s="16"/>
      <c r="D22" s="16"/>
      <c r="E22" s="16"/>
      <c r="F22" s="16"/>
      <c r="G22" s="16"/>
      <c r="H22" s="16"/>
      <c r="I22" s="16"/>
      <c r="K22" s="15">
        <v>42318</v>
      </c>
      <c r="L22" s="16" t="s">
        <v>29</v>
      </c>
      <c r="M22" s="16"/>
      <c r="N22" s="16"/>
      <c r="O22" s="16"/>
      <c r="P22" s="16"/>
      <c r="Q22" s="16"/>
      <c r="R22" s="16"/>
      <c r="S22" s="16"/>
    </row>
    <row r="23" spans="1:19" x14ac:dyDescent="0.35">
      <c r="A23" s="18"/>
      <c r="B23" s="16"/>
      <c r="C23" s="16"/>
      <c r="D23" s="16"/>
      <c r="E23" s="16"/>
      <c r="F23" s="16"/>
      <c r="G23" s="16"/>
      <c r="H23" s="16"/>
      <c r="I23" s="16"/>
      <c r="K23" s="15">
        <v>42348</v>
      </c>
      <c r="L23" s="16" t="s">
        <v>29</v>
      </c>
      <c r="M23" s="16"/>
      <c r="N23" s="16"/>
      <c r="O23" s="16"/>
      <c r="P23" s="16"/>
      <c r="Q23" s="16"/>
      <c r="R23" s="16"/>
      <c r="S23" s="16"/>
    </row>
    <row r="24" spans="1:19" x14ac:dyDescent="0.35">
      <c r="A24" s="18"/>
      <c r="B24" s="16"/>
      <c r="C24" s="16"/>
      <c r="D24" s="16"/>
      <c r="E24" s="16"/>
      <c r="F24" s="16"/>
      <c r="G24" s="16"/>
      <c r="H24" s="16"/>
      <c r="I24" s="16"/>
      <c r="K24" s="15">
        <v>42379</v>
      </c>
      <c r="L24" s="16" t="s">
        <v>29</v>
      </c>
      <c r="M24" s="16"/>
      <c r="N24" s="16"/>
      <c r="O24" s="16"/>
      <c r="P24" s="16"/>
      <c r="Q24" s="16"/>
      <c r="R24" s="16"/>
      <c r="S24" s="16"/>
    </row>
    <row r="25" spans="1:19" x14ac:dyDescent="0.35">
      <c r="A25" s="18"/>
      <c r="B25" s="16"/>
      <c r="C25" s="16"/>
      <c r="D25" s="16"/>
      <c r="E25" s="16"/>
      <c r="F25" s="16"/>
      <c r="G25" s="16"/>
      <c r="H25" s="16"/>
      <c r="I25" s="16"/>
      <c r="K25" s="15">
        <v>42410</v>
      </c>
      <c r="L25" s="16" t="s">
        <v>29</v>
      </c>
      <c r="M25" s="16"/>
      <c r="N25" s="16"/>
      <c r="O25" s="16"/>
      <c r="P25" s="16"/>
      <c r="Q25" s="16"/>
      <c r="R25" s="16"/>
      <c r="S25" s="16"/>
    </row>
    <row r="26" spans="1:19" x14ac:dyDescent="0.35">
      <c r="A26" s="18"/>
      <c r="B26" s="16"/>
      <c r="C26" s="16"/>
      <c r="D26" s="16"/>
      <c r="E26" s="16"/>
      <c r="F26" s="16"/>
      <c r="G26" s="16"/>
      <c r="H26" s="16"/>
      <c r="I26" s="16"/>
      <c r="K26" s="15">
        <v>42439</v>
      </c>
      <c r="L26" s="16" t="s">
        <v>29</v>
      </c>
      <c r="M26" s="16"/>
      <c r="N26" s="16"/>
      <c r="O26" s="16"/>
      <c r="P26" s="16"/>
      <c r="Q26" s="16"/>
      <c r="R26" s="16"/>
      <c r="S26" s="16"/>
    </row>
    <row r="27" spans="1:19" x14ac:dyDescent="0.35">
      <c r="A27" s="18"/>
      <c r="B27" s="16"/>
      <c r="C27" s="16"/>
      <c r="D27" s="16"/>
      <c r="E27" s="16"/>
      <c r="F27" s="16"/>
      <c r="G27" s="16"/>
      <c r="H27" s="16"/>
      <c r="I27" s="16"/>
      <c r="K27" s="15">
        <v>42470</v>
      </c>
      <c r="L27" s="16" t="s">
        <v>29</v>
      </c>
      <c r="M27" s="16"/>
      <c r="N27" s="16"/>
      <c r="O27" s="16"/>
      <c r="P27" s="16"/>
      <c r="Q27" s="16"/>
      <c r="R27" s="16"/>
      <c r="S27" s="16"/>
    </row>
    <row r="28" spans="1:19" x14ac:dyDescent="0.35">
      <c r="K28" s="15">
        <v>42470</v>
      </c>
      <c r="L28" s="16" t="s">
        <v>30</v>
      </c>
      <c r="M28" s="16"/>
      <c r="N28" s="16"/>
      <c r="O28" s="16"/>
      <c r="P28" s="16"/>
      <c r="Q28" s="16"/>
      <c r="R28" s="16"/>
      <c r="S28" s="16"/>
    </row>
    <row r="29" spans="1:19" x14ac:dyDescent="0.35">
      <c r="A29" s="11" t="s">
        <v>22</v>
      </c>
      <c r="B29" s="11"/>
      <c r="K29" s="12"/>
    </row>
    <row r="30" spans="1:19" x14ac:dyDescent="0.35">
      <c r="A30" s="20" t="str">
        <f t="array" ref="A30:B33">_xll.TestScript(B2,B3,B4,B5,A12:A27,B12:B27,B9,B8)</f>
        <v>ALIVE</v>
      </c>
      <c r="B30" s="21">
        <v>0.6</v>
      </c>
      <c r="K30" s="22" t="s">
        <v>37</v>
      </c>
    </row>
    <row r="31" spans="1:19" x14ac:dyDescent="0.35">
      <c r="A31" s="20" t="str">
        <v>AUTOCALL</v>
      </c>
      <c r="B31" s="21">
        <v>84</v>
      </c>
      <c r="K31" s="15">
        <v>42104</v>
      </c>
      <c r="L31" s="16" t="s">
        <v>28</v>
      </c>
      <c r="M31" s="16"/>
      <c r="N31" s="16"/>
      <c r="O31" s="16"/>
      <c r="P31" s="16"/>
      <c r="Q31" s="16"/>
      <c r="R31" s="16"/>
      <c r="S31" s="16"/>
    </row>
    <row r="32" spans="1:19" x14ac:dyDescent="0.35">
      <c r="A32" s="20" t="e">
        <v>#N/A</v>
      </c>
      <c r="B32" s="21" t="e">
        <v>#N/A</v>
      </c>
      <c r="K32" s="15">
        <v>42470</v>
      </c>
      <c r="L32" s="16" t="s">
        <v>31</v>
      </c>
      <c r="M32" s="16"/>
      <c r="N32" s="16"/>
      <c r="O32" s="16"/>
      <c r="P32" s="16"/>
      <c r="Q32" s="16"/>
      <c r="R32" s="16"/>
      <c r="S32" s="16"/>
    </row>
    <row r="33" spans="1:19" x14ac:dyDescent="0.35">
      <c r="A33" s="20" t="e">
        <v>#N/A</v>
      </c>
      <c r="B33" s="21" t="e">
        <v>#N/A</v>
      </c>
      <c r="K33" s="15">
        <v>42835</v>
      </c>
      <c r="L33" s="16" t="s">
        <v>32</v>
      </c>
      <c r="M33" s="16"/>
      <c r="N33" s="16"/>
      <c r="O33" s="16"/>
      <c r="P33" s="16"/>
      <c r="Q33" s="16"/>
      <c r="R33" s="16"/>
      <c r="S33" s="16"/>
    </row>
    <row r="34" spans="1:19" x14ac:dyDescent="0.35">
      <c r="K34" s="15">
        <v>43200</v>
      </c>
      <c r="L34" s="16" t="s">
        <v>33</v>
      </c>
      <c r="M34" s="16"/>
      <c r="N34" s="16"/>
      <c r="O34" s="16"/>
      <c r="P34" s="16"/>
      <c r="Q34" s="16"/>
      <c r="R34" s="16"/>
      <c r="S34" s="16"/>
    </row>
    <row r="35" spans="1:19" x14ac:dyDescent="0.35">
      <c r="K35" s="12"/>
    </row>
    <row r="36" spans="1:19" x14ac:dyDescent="0.35">
      <c r="K36" s="22" t="s">
        <v>38</v>
      </c>
    </row>
    <row r="37" spans="1:19" x14ac:dyDescent="0.35">
      <c r="K37" s="15">
        <v>42104</v>
      </c>
      <c r="L37" s="16" t="s">
        <v>23</v>
      </c>
      <c r="M37" s="16"/>
      <c r="N37" s="16"/>
      <c r="O37" s="16"/>
      <c r="P37" s="16"/>
      <c r="Q37" s="16"/>
      <c r="R37" s="16"/>
      <c r="S37" s="16"/>
    </row>
    <row r="38" spans="1:19" x14ac:dyDescent="0.35">
      <c r="K38" s="15">
        <v>42105</v>
      </c>
      <c r="L38" s="16" t="s">
        <v>24</v>
      </c>
      <c r="M38" s="16"/>
      <c r="N38" s="16"/>
      <c r="O38" s="16"/>
      <c r="P38" s="16"/>
      <c r="Q38" s="16"/>
      <c r="R38" s="16"/>
      <c r="S38" s="16"/>
    </row>
    <row r="39" spans="1:19" x14ac:dyDescent="0.35">
      <c r="K39" s="15">
        <v>42106</v>
      </c>
      <c r="L39" s="16" t="s">
        <v>25</v>
      </c>
      <c r="M39" s="16"/>
      <c r="N39" s="16"/>
      <c r="O39" s="16"/>
      <c r="P39" s="16"/>
      <c r="Q39" s="16"/>
      <c r="R39" s="16"/>
      <c r="S39" s="16"/>
    </row>
    <row r="40" spans="1:19" x14ac:dyDescent="0.35">
      <c r="K40" s="15">
        <v>42107</v>
      </c>
      <c r="L40" s="16" t="s">
        <v>26</v>
      </c>
      <c r="M40" s="16"/>
      <c r="N40" s="16"/>
      <c r="O40" s="16"/>
      <c r="P40" s="16"/>
      <c r="Q40" s="16"/>
      <c r="R40" s="16"/>
      <c r="S40" s="16"/>
    </row>
  </sheetData>
  <mergeCells count="4">
    <mergeCell ref="A1:B1"/>
    <mergeCell ref="A7:B7"/>
    <mergeCell ref="A11:I11"/>
    <mergeCell ref="A29:B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33"/>
  <sheetViews>
    <sheetView workbookViewId="0">
      <selection activeCell="E24" sqref="E24"/>
    </sheetView>
  </sheetViews>
  <sheetFormatPr defaultRowHeight="14.5" x14ac:dyDescent="0.35"/>
  <cols>
    <col min="2" max="2" width="11.54296875" bestFit="1" customWidth="1"/>
    <col min="3" max="3" width="10.1796875" bestFit="1" customWidth="1"/>
  </cols>
  <sheetData>
    <row r="2" spans="2:10" x14ac:dyDescent="0.35">
      <c r="B2" s="10" t="s">
        <v>18</v>
      </c>
      <c r="C2" s="10"/>
    </row>
    <row r="3" spans="2:10" x14ac:dyDescent="0.35">
      <c r="B3" t="s">
        <v>0</v>
      </c>
      <c r="C3" s="1">
        <v>42104</v>
      </c>
    </row>
    <row r="4" spans="2:10" x14ac:dyDescent="0.35">
      <c r="B4" t="s">
        <v>1</v>
      </c>
      <c r="C4">
        <v>100</v>
      </c>
    </row>
    <row r="5" spans="2:10" x14ac:dyDescent="0.35">
      <c r="B5" t="s">
        <v>2</v>
      </c>
      <c r="C5" s="2">
        <v>0.2</v>
      </c>
    </row>
    <row r="6" spans="2:10" x14ac:dyDescent="0.35">
      <c r="B6" t="s">
        <v>3</v>
      </c>
      <c r="C6" s="2">
        <v>0</v>
      </c>
    </row>
    <row r="9" spans="2:10" x14ac:dyDescent="0.35">
      <c r="B9" s="10" t="s">
        <v>4</v>
      </c>
      <c r="C9" s="10"/>
      <c r="D9" s="10"/>
      <c r="E9" s="10"/>
      <c r="F9" s="10"/>
      <c r="G9" s="10"/>
      <c r="H9" s="10"/>
      <c r="I9" s="10"/>
      <c r="J9" s="10"/>
    </row>
    <row r="10" spans="2:10" x14ac:dyDescent="0.35">
      <c r="B10" s="1">
        <v>42104</v>
      </c>
      <c r="C10" t="s">
        <v>5</v>
      </c>
    </row>
    <row r="11" spans="2:10" x14ac:dyDescent="0.35">
      <c r="B11" s="1">
        <v>42470</v>
      </c>
      <c r="C11" t="s">
        <v>6</v>
      </c>
    </row>
    <row r="12" spans="2:10" x14ac:dyDescent="0.35">
      <c r="B12" s="1">
        <v>42835</v>
      </c>
      <c r="C12" t="s">
        <v>7</v>
      </c>
    </row>
    <row r="13" spans="2:10" x14ac:dyDescent="0.35">
      <c r="B13" s="1">
        <v>43200</v>
      </c>
      <c r="C13" t="s">
        <v>13</v>
      </c>
    </row>
    <row r="18" spans="2:5" x14ac:dyDescent="0.35">
      <c r="B18" t="s">
        <v>9</v>
      </c>
      <c r="C18" s="8" t="b">
        <v>0</v>
      </c>
      <c r="D18" s="8" t="b">
        <f>C18</f>
        <v>0</v>
      </c>
    </row>
    <row r="19" spans="2:5" x14ac:dyDescent="0.35">
      <c r="B19" t="s">
        <v>10</v>
      </c>
      <c r="C19" s="5">
        <v>1</v>
      </c>
      <c r="D19" s="5">
        <v>1</v>
      </c>
    </row>
    <row r="20" spans="2:5" x14ac:dyDescent="0.35">
      <c r="B20" t="s">
        <v>11</v>
      </c>
      <c r="C20" s="6">
        <v>0</v>
      </c>
      <c r="D20" s="6">
        <v>1E-4</v>
      </c>
    </row>
    <row r="21" spans="2:5" x14ac:dyDescent="0.35">
      <c r="B21" t="s">
        <v>12</v>
      </c>
      <c r="C21" s="3">
        <v>0</v>
      </c>
      <c r="D21" s="3">
        <v>0</v>
      </c>
    </row>
    <row r="22" spans="2:5" x14ac:dyDescent="0.35">
      <c r="B22" t="s">
        <v>14</v>
      </c>
      <c r="C22">
        <v>2</v>
      </c>
      <c r="D22">
        <v>2</v>
      </c>
    </row>
    <row r="23" spans="2:5" x14ac:dyDescent="0.35">
      <c r="B23" t="s">
        <v>8</v>
      </c>
      <c r="E23" t="s">
        <v>15</v>
      </c>
    </row>
    <row r="24" spans="2:5" x14ac:dyDescent="0.35">
      <c r="B24" s="4">
        <v>10000</v>
      </c>
      <c r="C24" s="3" t="e">
        <f ca="1">INDEX(_xll.TestScript($C$3,$C$4+C$21,$C$5+C$20,$C$6,$B$10:$B$16,$C$10:$C$16,$B24,$B24,C$18,C$19),C$22,2)</f>
        <v>#NAME?</v>
      </c>
      <c r="D24" s="3">
        <f>INDEX(_xll.TestScript($C$3,$C$4+D$21,$C$5+D$20,$C$6,$B$10:$B$16,$C$10:$C$16,$B24,$B24,D$18,D$19),D$22,2)</f>
        <v>90.223999999997403</v>
      </c>
      <c r="E24" s="3" t="e">
        <f ca="1">(D24-C24)/$D$20</f>
        <v>#NAME?</v>
      </c>
    </row>
    <row r="25" spans="2:5" x14ac:dyDescent="0.35">
      <c r="B25" s="4">
        <v>20000</v>
      </c>
      <c r="C25" s="3" t="e">
        <f ca="1">INDEX(_xll.TestScript($C$3,$C$4+C$21,$C$5+C$20,$C$6,$B$10:$B$16,$C$10:$C$16,$B25,$B25,C$18,C$19),C$22,2)</f>
        <v>#NAME?</v>
      </c>
      <c r="D25" s="3">
        <f>INDEX(_xll.TestScript($C$3,$C$4+D$21,$C$5+D$20,$C$6,$B$10:$B$16,$C$10:$C$16,$B25,$B25,D$18,D$19),D$22,2)</f>
        <v>90.458499999982081</v>
      </c>
      <c r="E25" s="3" t="e">
        <f t="shared" ref="E25:E33" ca="1" si="0">(D25-C25)/$D$20</f>
        <v>#NAME?</v>
      </c>
    </row>
    <row r="26" spans="2:5" x14ac:dyDescent="0.35">
      <c r="B26" s="4">
        <v>30000</v>
      </c>
      <c r="C26" s="3" t="e">
        <f ca="1">INDEX(_xll.TestScript($C$3,$C$4+C$21,$C$5+C$20,$C$6,$B$10:$B$16,$C$10:$C$16,$B26,$B26,C$18,C$19),C$22,2)</f>
        <v>#NAME?</v>
      </c>
      <c r="D26" s="3">
        <f>INDEX(_xll.TestScript($C$3,$C$4+D$21,$C$5+D$20,$C$6,$B$10:$B$16,$C$10:$C$16,$B26,$B26,D$18,D$19),D$22,2)</f>
        <v>90.361999999973222</v>
      </c>
      <c r="E26" s="3" t="e">
        <f t="shared" ca="1" si="0"/>
        <v>#NAME?</v>
      </c>
    </row>
    <row r="27" spans="2:5" x14ac:dyDescent="0.35">
      <c r="B27" s="4">
        <v>40000</v>
      </c>
      <c r="C27" s="3" t="e">
        <f ca="1">INDEX(_xll.TestScript($C$3,$C$4+C$21,$C$5+C$20,$C$6,$B$10:$B$16,$C$10:$C$16,$B27,$B27,C$18,C$19),C$22,2)</f>
        <v>#NAME?</v>
      </c>
      <c r="D27" s="3">
        <f>INDEX(_xll.TestScript($C$3,$C$4+D$21,$C$5+D$20,$C$6,$B$10:$B$16,$C$10:$C$16,$B27,$B27,D$18,D$19),D$22,2)</f>
        <v>90.219000000007256</v>
      </c>
      <c r="E27" s="3" t="e">
        <f t="shared" ca="1" si="0"/>
        <v>#NAME?</v>
      </c>
    </row>
    <row r="28" spans="2:5" x14ac:dyDescent="0.35">
      <c r="B28" s="4">
        <v>50000</v>
      </c>
      <c r="C28" s="3" t="e">
        <f ca="1">INDEX(_xll.TestScript($C$3,$C$4+C$21,$C$5+C$20,$C$6,$B$10:$B$16,$C$10:$C$16,$B28,$B28,C$18,C$19),C$22,2)</f>
        <v>#NAME?</v>
      </c>
      <c r="D28" s="3">
        <f>INDEX(_xll.TestScript($C$3,$C$4+D$21,$C$5+D$20,$C$6,$B$10:$B$16,$C$10:$C$16,$B28,$B28,D$18,D$19),D$22,2)</f>
        <v>90.157800000033887</v>
      </c>
      <c r="E28" s="3" t="e">
        <f t="shared" ca="1" si="0"/>
        <v>#NAME?</v>
      </c>
    </row>
    <row r="29" spans="2:5" x14ac:dyDescent="0.35">
      <c r="B29" s="4">
        <v>60000</v>
      </c>
      <c r="C29" s="3" t="e">
        <f ca="1">INDEX(_xll.TestScript($C$3,$C$4+C$21,$C$5+C$20,$C$6,$B$10:$B$16,$C$10:$C$16,$B29,$B29,C$18,C$19),C$22,2)</f>
        <v>#NAME?</v>
      </c>
      <c r="D29" s="3">
        <f>INDEX(_xll.TestScript($C$3,$C$4+D$21,$C$5+D$20,$C$6,$B$10:$B$16,$C$10:$C$16,$B29,$B29,D$18,D$19),D$22,2)</f>
        <v>90.35516666665481</v>
      </c>
      <c r="E29" s="3" t="e">
        <f t="shared" ca="1" si="0"/>
        <v>#NAME?</v>
      </c>
    </row>
    <row r="30" spans="2:5" x14ac:dyDescent="0.35">
      <c r="B30" s="4">
        <v>70000</v>
      </c>
      <c r="C30" s="3" t="e">
        <f ca="1">INDEX(_xll.TestScript($C$3,$C$4+C$21,$C$5+C$20,$C$6,$B$10:$B$16,$C$10:$C$16,$B30,$B30,C$18,C$19),C$22,2)</f>
        <v>#NAME?</v>
      </c>
      <c r="D30" s="3">
        <f>INDEX(_xll.TestScript($C$3,$C$4+D$21,$C$5+D$20,$C$6,$B$10:$B$16,$C$10:$C$16,$B30,$B30,D$18,D$19),D$22,2)</f>
        <v>90.347142857107599</v>
      </c>
      <c r="E30" s="3" t="e">
        <f t="shared" ca="1" si="0"/>
        <v>#NAME?</v>
      </c>
    </row>
    <row r="31" spans="2:5" x14ac:dyDescent="0.35">
      <c r="B31" s="4">
        <v>80000</v>
      </c>
      <c r="C31" s="3" t="e">
        <f ca="1">INDEX(_xll.TestScript($C$3,$C$4+C$21,$C$5+C$20,$C$6,$B$10:$B$16,$C$10:$C$16,$B31,$B31,C$18,C$19),C$22,2)</f>
        <v>#NAME?</v>
      </c>
      <c r="D31" s="3">
        <f>INDEX(_xll.TestScript($C$3,$C$4+D$21,$C$5+D$20,$C$6,$B$10:$B$16,$C$10:$C$16,$B31,$B31,D$18,D$19),D$22,2)</f>
        <v>90.40787499995848</v>
      </c>
      <c r="E31" s="3" t="e">
        <f t="shared" ca="1" si="0"/>
        <v>#NAME?</v>
      </c>
    </row>
    <row r="32" spans="2:5" x14ac:dyDescent="0.35">
      <c r="B32" s="4">
        <v>90000</v>
      </c>
      <c r="C32" s="3" t="e">
        <f ca="1">INDEX(_xll.TestScript($C$3,$C$4+C$21,$C$5+C$20,$C$6,$B$10:$B$16,$C$10:$C$16,$B32,$B32,C$18,C$19),C$22,2)</f>
        <v>#NAME?</v>
      </c>
      <c r="D32" s="3">
        <f>INDEX(_xll.TestScript($C$3,$C$4+D$21,$C$5+D$20,$C$6,$B$10:$B$16,$C$10:$C$16,$B32,$B32,D$18,D$19),D$22,2)</f>
        <v>90.353222222262531</v>
      </c>
      <c r="E32" s="3" t="e">
        <f t="shared" ca="1" si="0"/>
        <v>#NAME?</v>
      </c>
    </row>
    <row r="33" spans="2:5" x14ac:dyDescent="0.35">
      <c r="B33" s="4">
        <v>100000</v>
      </c>
      <c r="C33" s="3">
        <f>INDEX(_xll.TestScript($C$3,$C$4+C$21,$C$5+C$20,$C$6,$B$10:$B$16,$C$10:$C$16,$B33,$B33,C$18,C$19),C$22,2)</f>
        <v>90.23189999997507</v>
      </c>
      <c r="D33" s="3">
        <f>INDEX(_xll.TestScript($C$3,$C$4+D$21,$C$5+D$20,$C$6,$B$10:$B$16,$C$10:$C$16,$B33,$B33,D$18,D$19),D$22,2)</f>
        <v>90.229899999975089</v>
      </c>
      <c r="E33" s="3" t="e">
        <f t="shared" ca="1" si="0"/>
        <v>#NAME?</v>
      </c>
    </row>
  </sheetData>
  <mergeCells count="2">
    <mergeCell ref="B2:C2"/>
    <mergeCell ref="B9:J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J33"/>
  <sheetViews>
    <sheetView workbookViewId="0">
      <selection activeCell="C24" sqref="C24"/>
    </sheetView>
  </sheetViews>
  <sheetFormatPr defaultRowHeight="14.5" x14ac:dyDescent="0.35"/>
  <cols>
    <col min="2" max="2" width="11.54296875" bestFit="1" customWidth="1"/>
    <col min="3" max="3" width="10.1796875" bestFit="1" customWidth="1"/>
  </cols>
  <sheetData>
    <row r="2" spans="2:10" x14ac:dyDescent="0.35">
      <c r="B2" s="10" t="s">
        <v>18</v>
      </c>
      <c r="C2" s="10"/>
    </row>
    <row r="3" spans="2:10" x14ac:dyDescent="0.35">
      <c r="B3" t="s">
        <v>0</v>
      </c>
      <c r="C3" s="1">
        <v>42104</v>
      </c>
    </row>
    <row r="4" spans="2:10" x14ac:dyDescent="0.35">
      <c r="B4" t="s">
        <v>1</v>
      </c>
      <c r="C4">
        <v>100</v>
      </c>
    </row>
    <row r="5" spans="2:10" x14ac:dyDescent="0.35">
      <c r="B5" t="s">
        <v>2</v>
      </c>
      <c r="C5" s="2">
        <v>0.2</v>
      </c>
    </row>
    <row r="6" spans="2:10" x14ac:dyDescent="0.35">
      <c r="B6" t="s">
        <v>3</v>
      </c>
      <c r="C6" s="2">
        <v>0</v>
      </c>
    </row>
    <row r="9" spans="2:10" x14ac:dyDescent="0.35">
      <c r="B9" s="10" t="s">
        <v>4</v>
      </c>
      <c r="C9" s="10"/>
      <c r="D9" s="10"/>
      <c r="E9" s="10"/>
      <c r="F9" s="10"/>
      <c r="G9" s="10"/>
      <c r="H9" s="10"/>
      <c r="I9" s="10"/>
      <c r="J9" s="10"/>
    </row>
    <row r="10" spans="2:10" x14ac:dyDescent="0.35">
      <c r="B10" s="1">
        <v>42104</v>
      </c>
      <c r="C10" t="s">
        <v>5</v>
      </c>
    </row>
    <row r="11" spans="2:10" x14ac:dyDescent="0.35">
      <c r="B11" s="1">
        <v>42470</v>
      </c>
      <c r="C11" t="s">
        <v>6</v>
      </c>
    </row>
    <row r="12" spans="2:10" x14ac:dyDescent="0.35">
      <c r="B12" s="1">
        <v>42835</v>
      </c>
      <c r="C12" t="s">
        <v>7</v>
      </c>
    </row>
    <row r="13" spans="2:10" x14ac:dyDescent="0.35">
      <c r="B13" s="1">
        <v>43200</v>
      </c>
      <c r="C13" t="s">
        <v>13</v>
      </c>
    </row>
    <row r="18" spans="2:7" x14ac:dyDescent="0.35">
      <c r="B18" t="s">
        <v>9</v>
      </c>
      <c r="C18" s="9" t="b">
        <v>0</v>
      </c>
      <c r="D18" t="b">
        <f>C18</f>
        <v>0</v>
      </c>
    </row>
    <row r="19" spans="2:7" x14ac:dyDescent="0.35">
      <c r="B19" t="s">
        <v>10</v>
      </c>
      <c r="C19" s="5">
        <v>1</v>
      </c>
      <c r="D19" s="5">
        <v>1</v>
      </c>
    </row>
    <row r="20" spans="2:7" x14ac:dyDescent="0.35">
      <c r="B20" t="s">
        <v>11</v>
      </c>
      <c r="C20" s="6">
        <v>0</v>
      </c>
      <c r="D20" s="6">
        <v>1E-4</v>
      </c>
    </row>
    <row r="21" spans="2:7" x14ac:dyDescent="0.35">
      <c r="B21" t="s">
        <v>12</v>
      </c>
      <c r="C21" s="3">
        <v>0</v>
      </c>
      <c r="D21" s="3">
        <v>0</v>
      </c>
    </row>
    <row r="22" spans="2:7" x14ac:dyDescent="0.35">
      <c r="B22" t="s">
        <v>14</v>
      </c>
      <c r="C22">
        <v>2</v>
      </c>
      <c r="D22">
        <v>2</v>
      </c>
    </row>
    <row r="23" spans="2:7" x14ac:dyDescent="0.35">
      <c r="B23" t="s">
        <v>8</v>
      </c>
      <c r="E23" t="s">
        <v>15</v>
      </c>
      <c r="F23" t="s">
        <v>16</v>
      </c>
      <c r="G23" t="s">
        <v>17</v>
      </c>
    </row>
    <row r="24" spans="2:7" x14ac:dyDescent="0.35">
      <c r="B24" s="4">
        <v>10000</v>
      </c>
      <c r="C24" s="3">
        <f>INDEX(_xll.TestScript($C$3,$C$4+C$21,$C$5+C$20,$C$6,$B$10:$B$16,$C$10:$C$16,$B24,$B24,C$18,C$19),C$22,2)</f>
        <v>90.223999999997403</v>
      </c>
      <c r="D24" s="3">
        <f>INDEX(_xll.TestScript($C$3,$C$4+D$21,$C$5+D$20,$C$6,$B$10:$B$16,$C$10:$C$16,$B24,$B24,D$18,D$19),D$22,2)</f>
        <v>90.223999999997403</v>
      </c>
      <c r="E24" s="3">
        <f>(D24-C24)/$D$20</f>
        <v>0</v>
      </c>
      <c r="F24" s="7" t="e">
        <f ca="1">Sharp!C24</f>
        <v>#NAME?</v>
      </c>
      <c r="G24" s="7" t="e">
        <f ca="1">Sharp!E24</f>
        <v>#NAME?</v>
      </c>
    </row>
    <row r="25" spans="2:7" x14ac:dyDescent="0.35">
      <c r="B25" s="4">
        <v>20000</v>
      </c>
      <c r="C25" s="3">
        <f>INDEX(_xll.TestScript($C$3,$C$4+C$21,$C$5+C$20,$C$6,$B$10:$B$16,$C$10:$C$16,$B25,$B25,C$18,C$19),C$22,2)</f>
        <v>90.457999999982079</v>
      </c>
      <c r="D25" s="3">
        <f>INDEX(_xll.TestScript($C$3,$C$4+D$21,$C$5+D$20,$C$6,$B$10:$B$16,$C$10:$C$16,$B25,$B25,D$18,D$19),D$22,2)</f>
        <v>90.458499999982081</v>
      </c>
      <c r="E25" s="3">
        <f t="shared" ref="E25:E33" si="0">(D25-C25)/$D$20</f>
        <v>5.0000000000238742</v>
      </c>
      <c r="F25" s="7" t="e">
        <f ca="1">Sharp!C25</f>
        <v>#NAME?</v>
      </c>
      <c r="G25" s="7" t="e">
        <f ca="1">Sharp!E25</f>
        <v>#NAME?</v>
      </c>
    </row>
    <row r="26" spans="2:7" x14ac:dyDescent="0.35">
      <c r="B26" s="4">
        <v>30000</v>
      </c>
      <c r="C26" s="3">
        <f>INDEX(_xll.TestScript($C$3,$C$4+C$21,$C$5+C$20,$C$6,$B$10:$B$16,$C$10:$C$16,$B26,$B26,C$18,C$19),C$22,2)</f>
        <v>90.362999999973212</v>
      </c>
      <c r="D26" s="3">
        <f>INDEX(_xll.TestScript($C$3,$C$4+D$21,$C$5+D$20,$C$6,$B$10:$B$16,$C$10:$C$16,$B26,$B26,D$18,D$19),D$22,2)</f>
        <v>90.361999999973222</v>
      </c>
      <c r="E26" s="3">
        <f t="shared" si="0"/>
        <v>-9.9999999999056399</v>
      </c>
      <c r="F26" s="7" t="e">
        <f ca="1">Sharp!C26</f>
        <v>#NAME?</v>
      </c>
      <c r="G26" s="7" t="e">
        <f ca="1">Sharp!E26</f>
        <v>#NAME?</v>
      </c>
    </row>
    <row r="27" spans="2:7" x14ac:dyDescent="0.35">
      <c r="B27" s="4">
        <v>40000</v>
      </c>
      <c r="C27" s="3">
        <f>INDEX(_xll.TestScript($C$3,$C$4+C$21,$C$5+C$20,$C$6,$B$10:$B$16,$C$10:$C$16,$B27,$B27,C$18,C$19),C$22,2)</f>
        <v>90.220750000007257</v>
      </c>
      <c r="D27" s="3">
        <f>INDEX(_xll.TestScript($C$3,$C$4+D$21,$C$5+D$20,$C$6,$B$10:$B$16,$C$10:$C$16,$B27,$B27,D$18,D$19),D$22,2)</f>
        <v>90.219000000007256</v>
      </c>
      <c r="E27" s="3">
        <f t="shared" si="0"/>
        <v>-17.500000000012506</v>
      </c>
      <c r="F27" s="7" t="e">
        <f ca="1">Sharp!C27</f>
        <v>#NAME?</v>
      </c>
      <c r="G27" s="7" t="e">
        <f ca="1">Sharp!E27</f>
        <v>#NAME?</v>
      </c>
    </row>
    <row r="28" spans="2:7" x14ac:dyDescent="0.35">
      <c r="B28" s="4">
        <v>50000</v>
      </c>
      <c r="C28" s="3">
        <f>INDEX(_xll.TestScript($C$3,$C$4+C$21,$C$5+C$20,$C$6,$B$10:$B$16,$C$10:$C$16,$B28,$B28,C$18,C$19),C$22,2)</f>
        <v>90.160200000033896</v>
      </c>
      <c r="D28" s="3">
        <f>INDEX(_xll.TestScript($C$3,$C$4+D$21,$C$5+D$20,$C$6,$B$10:$B$16,$C$10:$C$16,$B28,$B28,D$18,D$19),D$22,2)</f>
        <v>90.157800000033887</v>
      </c>
      <c r="E28" s="3">
        <f t="shared" si="0"/>
        <v>-24.000000000086175</v>
      </c>
      <c r="F28" s="7" t="e">
        <f ca="1">Sharp!C28</f>
        <v>#NAME?</v>
      </c>
      <c r="G28" s="7" t="e">
        <f ca="1">Sharp!E28</f>
        <v>#NAME?</v>
      </c>
    </row>
    <row r="29" spans="2:7" x14ac:dyDescent="0.35">
      <c r="B29" s="4">
        <v>60000</v>
      </c>
      <c r="C29" s="3">
        <f>INDEX(_xll.TestScript($C$3,$C$4+C$21,$C$5+C$20,$C$6,$B$10:$B$16,$C$10:$C$16,$B29,$B29,C$18,C$19),C$22,2)</f>
        <v>90.35516666665481</v>
      </c>
      <c r="D29" s="3">
        <f>INDEX(_xll.TestScript($C$3,$C$4+D$21,$C$5+D$20,$C$6,$B$10:$B$16,$C$10:$C$16,$B29,$B29,D$18,D$19),D$22,2)</f>
        <v>90.35516666665481</v>
      </c>
      <c r="E29" s="3">
        <f t="shared" si="0"/>
        <v>0</v>
      </c>
      <c r="F29" s="7" t="e">
        <f ca="1">Sharp!C29</f>
        <v>#NAME?</v>
      </c>
      <c r="G29" s="7" t="e">
        <f ca="1">Sharp!E29</f>
        <v>#NAME?</v>
      </c>
    </row>
    <row r="30" spans="2:7" x14ac:dyDescent="0.35">
      <c r="B30" s="4">
        <v>70000</v>
      </c>
      <c r="C30" s="3">
        <f>INDEX(_xll.TestScript($C$3,$C$4+C$21,$C$5+C$20,$C$6,$B$10:$B$16,$C$10:$C$16,$B30,$B30,C$18,C$19),C$22,2)</f>
        <v>90.347142857107599</v>
      </c>
      <c r="D30" s="3">
        <f>INDEX(_xll.TestScript($C$3,$C$4+D$21,$C$5+D$20,$C$6,$B$10:$B$16,$C$10:$C$16,$B30,$B30,D$18,D$19),D$22,2)</f>
        <v>90.347142857107599</v>
      </c>
      <c r="E30" s="3">
        <f t="shared" si="0"/>
        <v>0</v>
      </c>
      <c r="F30" s="7" t="e">
        <f ca="1">Sharp!C30</f>
        <v>#NAME?</v>
      </c>
      <c r="G30" s="7" t="e">
        <f ca="1">Sharp!E30</f>
        <v>#NAME?</v>
      </c>
    </row>
    <row r="31" spans="2:7" x14ac:dyDescent="0.35">
      <c r="B31" s="4">
        <v>80000</v>
      </c>
      <c r="C31" s="3">
        <f>INDEX(_xll.TestScript($C$3,$C$4+C$21,$C$5+C$20,$C$6,$B$10:$B$16,$C$10:$C$16,$B31,$B31,C$18,C$19),C$22,2)</f>
        <v>90.409624999958481</v>
      </c>
      <c r="D31" s="3">
        <f>INDEX(_xll.TestScript($C$3,$C$4+D$21,$C$5+D$20,$C$6,$B$10:$B$16,$C$10:$C$16,$B31,$B31,D$18,D$19),D$22,2)</f>
        <v>90.40787499995848</v>
      </c>
      <c r="E31" s="3">
        <f t="shared" si="0"/>
        <v>-17.500000000012506</v>
      </c>
      <c r="F31" s="7" t="e">
        <f ca="1">Sharp!C31</f>
        <v>#NAME?</v>
      </c>
      <c r="G31" s="7" t="e">
        <f ca="1">Sharp!E31</f>
        <v>#NAME?</v>
      </c>
    </row>
    <row r="32" spans="2:7" x14ac:dyDescent="0.35">
      <c r="B32" s="4">
        <v>90000</v>
      </c>
      <c r="C32" s="3">
        <f>INDEX(_xll.TestScript($C$3,$C$4+C$21,$C$5+C$20,$C$6,$B$10:$B$16,$C$10:$C$16,$B32,$B32,C$18,C$19),C$22,2)</f>
        <v>90.3547777778181</v>
      </c>
      <c r="D32" s="3">
        <f>INDEX(_xll.TestScript($C$3,$C$4+D$21,$C$5+D$20,$C$6,$B$10:$B$16,$C$10:$C$16,$B32,$B32,D$18,D$19),D$22,2)</f>
        <v>90.353222222262531</v>
      </c>
      <c r="E32" s="3">
        <f t="shared" si="0"/>
        <v>-15.55555555569299</v>
      </c>
      <c r="F32" s="7" t="e">
        <f ca="1">Sharp!C32</f>
        <v>#NAME?</v>
      </c>
      <c r="G32" s="7" t="e">
        <f ca="1">Sharp!E32</f>
        <v>#NAME?</v>
      </c>
    </row>
    <row r="33" spans="2:7" x14ac:dyDescent="0.35">
      <c r="B33" s="4">
        <v>100000</v>
      </c>
      <c r="C33" s="3">
        <f>INDEX(_xll.TestScript($C$3,$C$4+C$21,$C$5+C$20,$C$6,$B$10:$B$16,$C$10:$C$16,$B33,$B33,C$18,C$19),C$22,2)</f>
        <v>90.23189999997507</v>
      </c>
      <c r="D33" s="3">
        <f>INDEX(_xll.TestScript($C$3,$C$4+D$21,$C$5+D$20,$C$6,$B$10:$B$16,$C$10:$C$16,$B33,$B33,D$18,D$19),D$22,2)</f>
        <v>90.229899999975089</v>
      </c>
      <c r="E33" s="3">
        <f t="shared" si="0"/>
        <v>-19.99999999981128</v>
      </c>
      <c r="F33" s="7">
        <f>Sharp!C33</f>
        <v>90.23189999997507</v>
      </c>
      <c r="G33" s="7" t="e">
        <f ca="1">Sharp!E33</f>
        <v>#NAME?</v>
      </c>
    </row>
  </sheetData>
  <mergeCells count="2">
    <mergeCell ref="B2:C2"/>
    <mergeCell ref="B9:J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Scripts</vt:lpstr>
      <vt:lpstr>Sharp</vt:lpstr>
      <vt:lpstr>Fuzzy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Savine</dc:creator>
  <cp:lastModifiedBy>Francis Duffy</cp:lastModifiedBy>
  <dcterms:created xsi:type="dcterms:W3CDTF">2015-05-02T02:56:03Z</dcterms:created>
  <dcterms:modified xsi:type="dcterms:W3CDTF">2025-12-13T17:48:50Z</dcterms:modified>
</cp:coreProperties>
</file>